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harrison/Desktop/MARCSE/MARC_SEA_dashboard/reextract/"/>
    </mc:Choice>
  </mc:AlternateContent>
  <xr:revisionPtr revIDLastSave="0" documentId="13_ncr:1_{BC5BCEFB-C6B5-3E40-A676-D7B0D85ADDC0}" xr6:coauthVersionLast="47" xr6:coauthVersionMax="47" xr10:uidLastSave="{00000000-0000-0000-0000-000000000000}"/>
  <bookViews>
    <workbookView xWindow="16740" yWindow="-20180" windowWidth="20040" windowHeight="16800" activeTab="1" xr2:uid="{F9D7BF15-F492-8047-A4E2-13C3B2C8BC47}"/>
  </bookViews>
  <sheets>
    <sheet name="Table 1" sheetId="1" r:id="rId1"/>
    <sheet name="loc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D5" i="2"/>
  <c r="C6" i="2"/>
  <c r="D6" i="2"/>
  <c r="D4" i="2"/>
  <c r="C4" i="2"/>
  <c r="D2" i="2"/>
  <c r="C2" i="2"/>
</calcChain>
</file>

<file path=xl/sharedStrings.xml><?xml version="1.0" encoding="utf-8"?>
<sst xmlns="http://schemas.openxmlformats.org/spreadsheetml/2006/main" count="58" uniqueCount="57">
  <si>
    <r>
      <t>Year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of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sampling</t>
    </r>
    <r>
      <rPr>
        <sz val="6.5"/>
        <color rgb="FF000000"/>
        <rFont val="Calibri"/>
        <family val="2"/>
      </rPr>
      <t xml:space="preserve"> </t>
    </r>
  </si>
  <si>
    <r>
      <t>Enrolled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(n)</t>
    </r>
    <r>
      <rPr>
        <sz val="6.5"/>
        <color rgb="FF000000"/>
        <rFont val="Calibri"/>
        <family val="2"/>
      </rPr>
      <t xml:space="preserve"> </t>
    </r>
  </si>
  <si>
    <r>
      <t>Median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age,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months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(25-75%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percentiles)</t>
    </r>
    <r>
      <rPr>
        <sz val="6.5"/>
        <color rgb="FF000000"/>
        <rFont val="Calibri"/>
        <family val="2"/>
      </rPr>
      <t xml:space="preserve"> </t>
    </r>
  </si>
  <si>
    <r>
      <t>(18.0-47.0)</t>
    </r>
    <r>
      <rPr>
        <sz val="6.5"/>
        <color rgb="FF000000"/>
        <rFont val="Calibri"/>
        <family val="2"/>
      </rPr>
      <t xml:space="preserve"> </t>
    </r>
  </si>
  <si>
    <r>
      <t>(23.0-48.0)</t>
    </r>
    <r>
      <rPr>
        <sz val="6.5"/>
        <color rgb="FF000000"/>
        <rFont val="Calibri"/>
        <family val="2"/>
      </rPr>
      <t xml:space="preserve"> </t>
    </r>
  </si>
  <si>
    <r>
      <t>(19.0-47.8)</t>
    </r>
    <r>
      <rPr>
        <sz val="6.5"/>
        <color rgb="FF000000"/>
        <rFont val="Calibri"/>
        <family val="2"/>
      </rPr>
      <t xml:space="preserve"> </t>
    </r>
  </si>
  <si>
    <r>
      <t>(24.0-55.0)</t>
    </r>
    <r>
      <rPr>
        <sz val="6.5"/>
        <color rgb="FF000000"/>
        <rFont val="Calibri"/>
        <family val="2"/>
      </rPr>
      <t xml:space="preserve"> </t>
    </r>
  </si>
  <si>
    <r>
      <t>(13.3-36.0)</t>
    </r>
    <r>
      <rPr>
        <sz val="6.5"/>
        <color rgb="FF000000"/>
        <rFont val="Calibri"/>
        <family val="2"/>
      </rPr>
      <t xml:space="preserve"> </t>
    </r>
  </si>
  <si>
    <r>
      <t>(16.3-48.0)</t>
    </r>
    <r>
      <rPr>
        <sz val="6.5"/>
        <color rgb="FF000000"/>
        <rFont val="Calibri"/>
        <family val="2"/>
      </rPr>
      <t xml:space="preserve"> </t>
    </r>
  </si>
  <si>
    <r>
      <t>Gender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(M:F)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%</t>
    </r>
    <r>
      <rPr>
        <sz val="6.5"/>
        <color rgb="FF000000"/>
        <rFont val="Calibri"/>
        <family val="2"/>
      </rPr>
      <t xml:space="preserve"> </t>
    </r>
  </si>
  <si>
    <r>
      <t>47.5:52.5</t>
    </r>
    <r>
      <rPr>
        <sz val="6.5"/>
        <color rgb="FF000000"/>
        <rFont val="Calibri"/>
        <family val="2"/>
      </rPr>
      <t xml:space="preserve"> </t>
    </r>
  </si>
  <si>
    <r>
      <t>43.8:56.2</t>
    </r>
    <r>
      <rPr>
        <sz val="6.5"/>
        <color rgb="FF000000"/>
        <rFont val="Calibri"/>
        <family val="2"/>
      </rPr>
      <t xml:space="preserve"> </t>
    </r>
  </si>
  <si>
    <r>
      <t>41.1:58.9</t>
    </r>
    <r>
      <rPr>
        <sz val="6.5"/>
        <color rgb="FF000000"/>
        <rFont val="Calibri"/>
        <family val="2"/>
      </rPr>
      <t xml:space="preserve"> </t>
    </r>
  </si>
  <si>
    <r>
      <t>46.5:53.5</t>
    </r>
    <r>
      <rPr>
        <sz val="6.5"/>
        <color rgb="FF000000"/>
        <rFont val="Calibri"/>
        <family val="2"/>
      </rPr>
      <t xml:space="preserve"> </t>
    </r>
  </si>
  <si>
    <r>
      <t>53.9:46.1</t>
    </r>
    <r>
      <rPr>
        <sz val="6.5"/>
        <color rgb="FF000000"/>
        <rFont val="Calibri"/>
        <family val="2"/>
      </rPr>
      <t xml:space="preserve"> </t>
    </r>
  </si>
  <si>
    <r>
      <t>51.5:48.5</t>
    </r>
    <r>
      <rPr>
        <sz val="6.5"/>
        <color rgb="FF000000"/>
        <rFont val="Calibri"/>
        <family val="2"/>
      </rPr>
      <t xml:space="preserve"> </t>
    </r>
  </si>
  <si>
    <r>
      <t>Median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temperature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C,</t>
    </r>
    <r>
      <rPr>
        <sz val="6.5"/>
        <color rgb="FF000000"/>
        <rFont val="Calibri"/>
        <family val="2"/>
      </rPr>
      <t xml:space="preserve"> </t>
    </r>
  </si>
  <si>
    <r>
      <t>(25-75%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percentiles)</t>
    </r>
    <r>
      <rPr>
        <sz val="6.5"/>
        <color rgb="FF000000"/>
        <rFont val="Calibri"/>
        <family val="2"/>
      </rPr>
      <t xml:space="preserve"> </t>
    </r>
  </si>
  <si>
    <r>
      <t>(38.0-39.5)</t>
    </r>
    <r>
      <rPr>
        <sz val="6.5"/>
        <color rgb="FF000000"/>
        <rFont val="Calibri"/>
        <family val="2"/>
      </rPr>
      <t xml:space="preserve"> </t>
    </r>
  </si>
  <si>
    <r>
      <t>(37.8-39.2)</t>
    </r>
    <r>
      <rPr>
        <sz val="6.5"/>
        <color rgb="FF000000"/>
        <rFont val="Calibri"/>
        <family val="2"/>
      </rPr>
      <t xml:space="preserve"> </t>
    </r>
  </si>
  <si>
    <r>
      <t>(37.8-38.8)</t>
    </r>
    <r>
      <rPr>
        <sz val="6.5"/>
        <color rgb="FF000000"/>
        <rFont val="Calibri"/>
        <family val="2"/>
      </rPr>
      <t xml:space="preserve"> </t>
    </r>
  </si>
  <si>
    <r>
      <t>(37.5-38.7)</t>
    </r>
    <r>
      <rPr>
        <sz val="6.5"/>
        <color rgb="FF000000"/>
        <rFont val="Calibri"/>
        <family val="2"/>
      </rPr>
      <t xml:space="preserve"> </t>
    </r>
  </si>
  <si>
    <r>
      <t>(37.7-39.3)</t>
    </r>
    <r>
      <rPr>
        <sz val="6.5"/>
        <color rgb="FF000000"/>
        <rFont val="Calibri"/>
        <family val="2"/>
      </rPr>
      <t xml:space="preserve"> </t>
    </r>
  </si>
  <si>
    <r>
      <t>(37.7-39.0)</t>
    </r>
    <r>
      <rPr>
        <sz val="6.5"/>
        <color rgb="FF000000"/>
        <rFont val="Calibri"/>
        <family val="2"/>
      </rPr>
      <t xml:space="preserve"> </t>
    </r>
  </si>
  <si>
    <r>
      <t>Median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parasite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density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(parasites/ul)</t>
    </r>
    <r>
      <rPr>
        <sz val="6.5"/>
        <color rgb="FF000000"/>
        <rFont val="Calibri"/>
        <family val="2"/>
      </rPr>
      <t xml:space="preserve"> </t>
    </r>
  </si>
  <si>
    <r>
      <t>(11,612-46,917)</t>
    </r>
    <r>
      <rPr>
        <sz val="6.5"/>
        <color rgb="FF000000"/>
        <rFont val="Calibri"/>
        <family val="2"/>
      </rPr>
      <t xml:space="preserve"> </t>
    </r>
  </si>
  <si>
    <r>
      <t>(13,954-49,862)</t>
    </r>
    <r>
      <rPr>
        <sz val="6.5"/>
        <color rgb="FF000000"/>
        <rFont val="Calibri"/>
        <family val="2"/>
      </rPr>
      <t xml:space="preserve"> </t>
    </r>
  </si>
  <si>
    <r>
      <t>(12,652-53,281)</t>
    </r>
    <r>
      <rPr>
        <sz val="6.5"/>
        <color rgb="FF000000"/>
        <rFont val="Calibri"/>
        <family val="2"/>
      </rPr>
      <t xml:space="preserve"> </t>
    </r>
  </si>
  <si>
    <r>
      <t>(10,687-63,719)</t>
    </r>
    <r>
      <rPr>
        <sz val="6.5"/>
        <color rgb="FF000000"/>
        <rFont val="Calibri"/>
        <family val="2"/>
      </rPr>
      <t xml:space="preserve"> </t>
    </r>
  </si>
  <si>
    <r>
      <t>(11,889-52,837)</t>
    </r>
    <r>
      <rPr>
        <sz val="6.5"/>
        <color rgb="FF000000"/>
        <rFont val="Calibri"/>
        <family val="2"/>
      </rPr>
      <t xml:space="preserve"> </t>
    </r>
  </si>
  <si>
    <r>
      <t>(12,506-63,662)</t>
    </r>
    <r>
      <rPr>
        <sz val="6.5"/>
        <color rgb="FF000000"/>
        <rFont val="Calibri"/>
        <family val="2"/>
      </rPr>
      <t xml:space="preserve"> </t>
    </r>
  </si>
  <si>
    <r>
      <t>Samples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for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molecular</t>
    </r>
    <r>
      <rPr>
        <sz val="6.5"/>
        <color rgb="FF000000"/>
        <rFont val="Calibri"/>
        <family val="2"/>
      </rPr>
      <t xml:space="preserve"> </t>
    </r>
    <r>
      <rPr>
        <sz val="6.5"/>
        <color rgb="FF000000"/>
        <rFont val="Times New Roman"/>
        <family val="1"/>
      </rPr>
      <t>studies</t>
    </r>
    <r>
      <rPr>
        <sz val="6.5"/>
        <color rgb="FF000000"/>
        <rFont val="Calibri"/>
        <family val="2"/>
      </rPr>
      <t xml:space="preserve"> </t>
    </r>
  </si>
  <si>
    <r>
      <t>Sites</t>
    </r>
    <r>
      <rPr>
        <sz val="6.5"/>
        <color rgb="FF000000"/>
        <rFont val="Calibri"/>
        <family val="2"/>
      </rPr>
      <t xml:space="preserve"> </t>
    </r>
  </si>
  <si>
    <r>
      <t>Boende</t>
    </r>
    <r>
      <rPr>
        <sz val="6.5"/>
        <color rgb="FF000000"/>
        <rFont val="Calibri"/>
        <family val="2"/>
      </rPr>
      <t xml:space="preserve"> </t>
    </r>
  </si>
  <si>
    <r>
      <t>Kabondo</t>
    </r>
    <r>
      <rPr>
        <sz val="6.5"/>
        <color rgb="FF000000"/>
        <rFont val="Calibri"/>
        <family val="2"/>
      </rPr>
      <t xml:space="preserve"> </t>
    </r>
  </si>
  <si>
    <r>
      <t>Kapolowe</t>
    </r>
    <r>
      <rPr>
        <sz val="6.5"/>
        <color rgb="FF000000"/>
        <rFont val="Calibri"/>
        <family val="2"/>
      </rPr>
      <t xml:space="preserve"> </t>
    </r>
  </si>
  <si>
    <r>
      <t>Kimpese</t>
    </r>
    <r>
      <rPr>
        <sz val="6.5"/>
        <color rgb="FF000000"/>
        <rFont val="Calibri"/>
        <family val="2"/>
      </rPr>
      <t xml:space="preserve"> </t>
    </r>
  </si>
  <si>
    <r>
      <t>Mikalayi</t>
    </r>
    <r>
      <rPr>
        <sz val="6.5"/>
        <color rgb="FF000000"/>
        <rFont val="Calibri"/>
        <family val="2"/>
      </rPr>
      <t xml:space="preserve"> </t>
    </r>
  </si>
  <si>
    <r>
      <t>Rutshuru</t>
    </r>
    <r>
      <rPr>
        <sz val="6.5"/>
        <color rgb="FF000000"/>
        <rFont val="Calibri"/>
        <family val="2"/>
      </rPr>
      <t xml:space="preserve"> </t>
    </r>
  </si>
  <si>
    <r>
      <t>Boende</t>
    </r>
    <r>
      <rPr>
        <sz val="12"/>
        <color rgb="FF000000"/>
        <rFont val="Calibri"/>
        <family val="2"/>
      </rPr>
      <t xml:space="preserve"> </t>
    </r>
  </si>
  <si>
    <r>
      <t>Kabondo</t>
    </r>
    <r>
      <rPr>
        <sz val="12"/>
        <color rgb="FF000000"/>
        <rFont val="Calibri"/>
        <family val="2"/>
      </rPr>
      <t xml:space="preserve"> </t>
    </r>
  </si>
  <si>
    <r>
      <t>Kapolowe</t>
    </r>
    <r>
      <rPr>
        <sz val="12"/>
        <color rgb="FF000000"/>
        <rFont val="Calibri"/>
        <family val="2"/>
      </rPr>
      <t xml:space="preserve"> </t>
    </r>
  </si>
  <si>
    <r>
      <t>Kimpese</t>
    </r>
    <r>
      <rPr>
        <sz val="12"/>
        <color rgb="FF000000"/>
        <rFont val="Calibri"/>
        <family val="2"/>
      </rPr>
      <t xml:space="preserve"> </t>
    </r>
  </si>
  <si>
    <r>
      <t>Mikalayi</t>
    </r>
    <r>
      <rPr>
        <sz val="12"/>
        <color rgb="FF000000"/>
        <rFont val="Calibri"/>
        <family val="2"/>
      </rPr>
      <t xml:space="preserve"> </t>
    </r>
  </si>
  <si>
    <r>
      <t>Rutshuru</t>
    </r>
    <r>
      <rPr>
        <sz val="12"/>
        <color rgb="FF000000"/>
        <rFont val="Calibri"/>
        <family val="2"/>
      </rPr>
      <t xml:space="preserve"> </t>
    </r>
  </si>
  <si>
    <t>Site.Name</t>
  </si>
  <si>
    <t>gmaps_latlon</t>
  </si>
  <si>
    <t>Longitude</t>
  </si>
  <si>
    <t>Latitude</t>
  </si>
  <si>
    <t>-8.906147881</t>
  </si>
  <si>
    <t>25.66816516</t>
  </si>
  <si>
    <t>-1.185494692</t>
  </si>
  <si>
    <t>29.44696415</t>
  </si>
  <si>
    <t>-0.2840626622105563, 20.882572994629356</t>
  </si>
  <si>
    <t>-10.942714131251758, 26.952351369566728</t>
  </si>
  <si>
    <t>-5.560683759491116, 14.435187755401277</t>
  </si>
  <si>
    <t>-6.02371642420627, 22.318120725025427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</si>
</sst>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6"/>
      <color rgb="FF000000"/>
      <name val="Helvetica"/>
      <family val="2"/>
    </font>
    <font>
      <sz val="8"/>
      <color rgb="FF000000"/>
      <name val="Helvetica"/>
      <family val="2"/>
    </font>
    <font>
      <sz val="6.5"/>
      <color rgb="FF000000"/>
      <name val="Times New Roman"/>
      <family val="1"/>
    </font>
    <font>
      <sz val="6.5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3" fontId="3" fillId="0" borderId="0" xfId="0" applyNumberFormat="1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CF4C-3572-F748-849C-1CFD17B03915}">
  <dimension ref="A2:G54"/>
  <sheetViews>
    <sheetView zoomScale="218" workbookViewId="0">
      <selection activeCell="B2" sqref="B2:G2"/>
    </sheetView>
  </sheetViews>
  <sheetFormatPr baseColWidth="10" defaultRowHeight="16" x14ac:dyDescent="0.2"/>
  <sheetData>
    <row r="2" spans="1:7" x14ac:dyDescent="0.2">
      <c r="A2" s="11" t="s">
        <v>32</v>
      </c>
      <c r="B2" s="11" t="s">
        <v>33</v>
      </c>
      <c r="C2" s="11" t="s">
        <v>34</v>
      </c>
      <c r="D2" s="11" t="s">
        <v>35</v>
      </c>
      <c r="E2" s="11" t="s">
        <v>36</v>
      </c>
      <c r="F2" s="11" t="s">
        <v>37</v>
      </c>
      <c r="G2" s="11" t="s">
        <v>38</v>
      </c>
    </row>
    <row r="3" spans="1:7" x14ac:dyDescent="0.2">
      <c r="A3" s="4" t="s">
        <v>0</v>
      </c>
      <c r="B3" s="4">
        <v>2021</v>
      </c>
      <c r="C3" s="4">
        <v>2021</v>
      </c>
      <c r="D3" s="4">
        <v>2021</v>
      </c>
      <c r="E3" s="4">
        <v>2020</v>
      </c>
      <c r="F3" s="5">
        <v>2021</v>
      </c>
      <c r="G3" s="5">
        <v>2020</v>
      </c>
    </row>
    <row r="4" spans="1:7" x14ac:dyDescent="0.2">
      <c r="A4" s="4" t="s">
        <v>1</v>
      </c>
      <c r="B4" s="4">
        <v>179</v>
      </c>
      <c r="C4" s="4">
        <v>176</v>
      </c>
      <c r="D4" s="4">
        <v>180</v>
      </c>
      <c r="E4" s="4">
        <v>200</v>
      </c>
      <c r="F4" s="5">
        <v>180</v>
      </c>
      <c r="G4" s="5">
        <v>200</v>
      </c>
    </row>
    <row r="5" spans="1:7" x14ac:dyDescent="0.2">
      <c r="A5" s="10" t="s">
        <v>2</v>
      </c>
      <c r="B5" s="4">
        <v>32</v>
      </c>
      <c r="C5" s="4">
        <v>36</v>
      </c>
      <c r="D5" s="4">
        <v>30.5</v>
      </c>
      <c r="E5" s="4">
        <v>41</v>
      </c>
      <c r="F5" s="5">
        <v>24</v>
      </c>
      <c r="G5" s="5">
        <v>30</v>
      </c>
    </row>
    <row r="6" spans="1:7" x14ac:dyDescent="0.2">
      <c r="A6" s="10"/>
      <c r="B6" s="4" t="s">
        <v>3</v>
      </c>
      <c r="C6" s="4" t="s">
        <v>4</v>
      </c>
      <c r="D6" s="4" t="s">
        <v>5</v>
      </c>
      <c r="E6" s="4" t="s">
        <v>6</v>
      </c>
      <c r="F6" s="5" t="s">
        <v>7</v>
      </c>
      <c r="G6" s="5" t="s">
        <v>8</v>
      </c>
    </row>
    <row r="7" spans="1:7" x14ac:dyDescent="0.2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5" t="s">
        <v>14</v>
      </c>
      <c r="G7" s="5" t="s">
        <v>15</v>
      </c>
    </row>
    <row r="8" spans="1:7" ht="22" x14ac:dyDescent="0.2">
      <c r="A8" s="4" t="s">
        <v>16</v>
      </c>
      <c r="B8" s="4">
        <v>38.799999999999997</v>
      </c>
      <c r="C8" s="4">
        <v>38.4</v>
      </c>
      <c r="D8" s="4">
        <v>38</v>
      </c>
      <c r="E8" s="4">
        <v>37.9</v>
      </c>
      <c r="F8" s="5">
        <v>38.6</v>
      </c>
      <c r="G8" s="5">
        <v>38.1</v>
      </c>
    </row>
    <row r="9" spans="1:7" ht="22" x14ac:dyDescent="0.2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5" t="s">
        <v>22</v>
      </c>
      <c r="G9" s="5" t="s">
        <v>23</v>
      </c>
    </row>
    <row r="10" spans="1:7" ht="33" x14ac:dyDescent="0.2">
      <c r="A10" s="4" t="s">
        <v>24</v>
      </c>
      <c r="B10" s="6">
        <v>27764</v>
      </c>
      <c r="C10" s="6">
        <v>26526</v>
      </c>
      <c r="D10" s="6">
        <v>27850</v>
      </c>
      <c r="E10" s="6">
        <v>30343</v>
      </c>
      <c r="F10" s="7">
        <v>25304</v>
      </c>
      <c r="G10" s="7">
        <v>29871</v>
      </c>
    </row>
    <row r="11" spans="1:7" ht="22" x14ac:dyDescent="0.2">
      <c r="A11" s="4" t="s">
        <v>17</v>
      </c>
      <c r="B11" s="4" t="s">
        <v>25</v>
      </c>
      <c r="C11" s="4" t="s">
        <v>26</v>
      </c>
      <c r="D11" s="4" t="s">
        <v>27</v>
      </c>
      <c r="E11" s="4" t="s">
        <v>28</v>
      </c>
      <c r="F11" s="8" t="s">
        <v>29</v>
      </c>
      <c r="G11" s="9" t="s">
        <v>30</v>
      </c>
    </row>
    <row r="12" spans="1:7" ht="22" x14ac:dyDescent="0.2">
      <c r="A12" s="4" t="s">
        <v>31</v>
      </c>
      <c r="B12" s="4">
        <v>177</v>
      </c>
      <c r="C12" s="4">
        <v>176</v>
      </c>
      <c r="D12" s="4">
        <v>178</v>
      </c>
      <c r="E12" s="4">
        <v>178</v>
      </c>
      <c r="F12" s="5">
        <v>178</v>
      </c>
      <c r="G12" s="5">
        <v>178</v>
      </c>
    </row>
    <row r="13" spans="1:7" x14ac:dyDescent="0.2">
      <c r="A13" s="1"/>
    </row>
    <row r="14" spans="1:7" x14ac:dyDescent="0.2">
      <c r="A14" s="1"/>
    </row>
    <row r="15" spans="1:7" x14ac:dyDescent="0.2">
      <c r="A15" s="1"/>
    </row>
    <row r="16" spans="1:7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1"/>
    </row>
    <row r="40" spans="1:1" x14ac:dyDescent="0.2">
      <c r="A40" s="2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</sheetData>
  <mergeCells count="1"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3B8A-D901-0B44-BCF3-BC9A6CDAF9E9}">
  <dimension ref="A1:D7"/>
  <sheetViews>
    <sheetView tabSelected="1" workbookViewId="0">
      <selection activeCell="B6" sqref="B6"/>
    </sheetView>
  </sheetViews>
  <sheetFormatPr baseColWidth="10" defaultRowHeight="16" x14ac:dyDescent="0.2"/>
  <sheetData>
    <row r="1" spans="1:4" x14ac:dyDescent="0.2">
      <c r="A1" t="s">
        <v>45</v>
      </c>
      <c r="B1" t="s">
        <v>46</v>
      </c>
      <c r="C1" t="s">
        <v>48</v>
      </c>
      <c r="D1" t="s">
        <v>47</v>
      </c>
    </row>
    <row r="2" spans="1:4" x14ac:dyDescent="0.2">
      <c r="A2" s="12" t="s">
        <v>39</v>
      </c>
      <c r="B2" t="s">
        <v>53</v>
      </c>
      <c r="C2" t="str">
        <f>_xlfn.TEXTBEFORE(B2,",",,,,)</f>
        <v>-0.2840626622105563</v>
      </c>
      <c r="D2" t="str">
        <f>_xlfn.TEXTAFTER(B2,",",,,,)</f>
        <v xml:space="preserve"> 20.882572994629356</v>
      </c>
    </row>
    <row r="3" spans="1:4" x14ac:dyDescent="0.2">
      <c r="A3" s="12" t="s">
        <v>40</v>
      </c>
      <c r="C3" t="s">
        <v>49</v>
      </c>
      <c r="D3" t="s">
        <v>50</v>
      </c>
    </row>
    <row r="4" spans="1:4" x14ac:dyDescent="0.2">
      <c r="A4" s="12" t="s">
        <v>41</v>
      </c>
      <c r="B4" t="s">
        <v>54</v>
      </c>
      <c r="C4" t="str">
        <f>_xlfn.TEXTBEFORE(B4,",",,,,)</f>
        <v>-10.942714131251758</v>
      </c>
      <c r="D4" t="str">
        <f>_xlfn.TEXTAFTER(B4,",",,,,)</f>
        <v xml:space="preserve"> 26.952351369566728</v>
      </c>
    </row>
    <row r="5" spans="1:4" x14ac:dyDescent="0.2">
      <c r="A5" s="12" t="s">
        <v>42</v>
      </c>
      <c r="B5" t="s">
        <v>55</v>
      </c>
      <c r="C5" t="str">
        <f t="shared" ref="C5:C6" si="0">_xlfn.TEXTBEFORE(B5,",",,,,)</f>
        <v>-5.560683759491116</v>
      </c>
      <c r="D5" t="str">
        <f t="shared" ref="D5:D6" si="1">_xlfn.TEXTAFTER(B5,",",,,,)</f>
        <v xml:space="preserve"> 14.435187755401277</v>
      </c>
    </row>
    <row r="6" spans="1:4" x14ac:dyDescent="0.2">
      <c r="A6" s="12" t="s">
        <v>43</v>
      </c>
      <c r="B6" t="s">
        <v>56</v>
      </c>
      <c r="C6" t="str">
        <f t="shared" si="0"/>
        <v>-6.02371642420627</v>
      </c>
      <c r="D6" t="str">
        <f t="shared" si="1"/>
        <v xml:space="preserve"> 22.318120725025427</v>
      </c>
    </row>
    <row r="7" spans="1:4" x14ac:dyDescent="0.2">
      <c r="A7" s="12" t="s">
        <v>44</v>
      </c>
      <c r="C7" t="s">
        <v>51</v>
      </c>
      <c r="D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locs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Harrison</dc:creator>
  <cp:lastModifiedBy>Lucy Harrison</cp:lastModifiedBy>
  <dcterms:created xsi:type="dcterms:W3CDTF">2026-02-10T13:30:42Z</dcterms:created>
  <dcterms:modified xsi:type="dcterms:W3CDTF">2026-02-10T14:01:33Z</dcterms:modified>
</cp:coreProperties>
</file>