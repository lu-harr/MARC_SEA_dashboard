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harrison/Desktop/MARCSE/MARC_SEA_dashboard/reextract/"/>
    </mc:Choice>
  </mc:AlternateContent>
  <xr:revisionPtr revIDLastSave="0" documentId="13_ncr:1_{C2265D3B-598A-3C4F-AB2C-7BA92621C8A1}" xr6:coauthVersionLast="47" xr6:coauthVersionMax="47" xr10:uidLastSave="{00000000-0000-0000-0000-000000000000}"/>
  <bookViews>
    <workbookView xWindow="4760" yWindow="1000" windowWidth="22300" windowHeight="18640" activeTab="2" xr2:uid="{7790018D-AF88-2641-BB15-BFB82109EE9E}"/>
  </bookViews>
  <sheets>
    <sheet name="from" sheetId="1" r:id="rId1"/>
    <sheet name="Table S4 pivot" sheetId="5" r:id="rId2"/>
    <sheet name="retrieve Table S4" sheetId="3" r:id="rId3"/>
    <sheet name="locations" sheetId="6" r:id="rId4"/>
    <sheet name="to_locate" sheetId="7" r:id="rId5"/>
  </sheets>
  <definedNames>
    <definedName name="ExternalData_1" localSheetId="1" hidden="1">'Table S4 pivot'!$A$1:$D$799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6" l="1"/>
  <c r="N8" i="6"/>
  <c r="M3" i="6"/>
  <c r="N3" i="6"/>
  <c r="M4" i="6"/>
  <c r="N4" i="6"/>
  <c r="M5" i="6"/>
  <c r="N5" i="6"/>
  <c r="M6" i="6"/>
  <c r="N6" i="6"/>
  <c r="M7" i="6"/>
  <c r="N7" i="6"/>
  <c r="M9" i="6"/>
  <c r="N9" i="6"/>
  <c r="M10" i="6"/>
  <c r="N10" i="6"/>
  <c r="M11" i="6"/>
  <c r="N11" i="6"/>
  <c r="M12" i="6"/>
  <c r="N12" i="6"/>
  <c r="M13" i="6"/>
  <c r="N13" i="6"/>
  <c r="M14" i="6"/>
  <c r="N14" i="6"/>
  <c r="M15" i="6"/>
  <c r="N15" i="6"/>
  <c r="M16" i="6"/>
  <c r="N16" i="6"/>
  <c r="M17" i="6"/>
  <c r="N17" i="6"/>
  <c r="M18" i="6"/>
  <c r="N18" i="6"/>
  <c r="M19" i="6"/>
  <c r="N19" i="6"/>
  <c r="M20" i="6"/>
  <c r="N20" i="6"/>
  <c r="N2" i="6"/>
  <c r="M2" i="6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T42" i="3"/>
  <c r="AG42" i="3" s="1"/>
  <c r="U42" i="3"/>
  <c r="V42" i="3"/>
  <c r="W42" i="3"/>
  <c r="X42" i="3"/>
  <c r="Y42" i="3"/>
  <c r="Z42" i="3"/>
  <c r="AA42" i="3"/>
  <c r="AB42" i="3"/>
  <c r="AC42" i="3"/>
  <c r="AD42" i="3"/>
  <c r="AE42" i="3"/>
  <c r="AF42" i="3"/>
  <c r="T43" i="3"/>
  <c r="U43" i="3"/>
  <c r="V43" i="3"/>
  <c r="W43" i="3"/>
  <c r="X43" i="3"/>
  <c r="Y43" i="3"/>
  <c r="Z43" i="3"/>
  <c r="AA43" i="3"/>
  <c r="AB43" i="3"/>
  <c r="AC43" i="3"/>
  <c r="AD43" i="3"/>
  <c r="AE43" i="3"/>
  <c r="AF43" i="3"/>
  <c r="T44" i="3"/>
  <c r="U44" i="3"/>
  <c r="V44" i="3"/>
  <c r="W44" i="3"/>
  <c r="X44" i="3"/>
  <c r="Y44" i="3"/>
  <c r="Z44" i="3"/>
  <c r="AA44" i="3"/>
  <c r="AB44" i="3"/>
  <c r="AC44" i="3"/>
  <c r="AD44" i="3"/>
  <c r="AE44" i="3"/>
  <c r="AF44" i="3"/>
  <c r="T45" i="3"/>
  <c r="U45" i="3"/>
  <c r="V45" i="3"/>
  <c r="W45" i="3"/>
  <c r="X45" i="3"/>
  <c r="Y45" i="3"/>
  <c r="Z45" i="3"/>
  <c r="AA45" i="3"/>
  <c r="AB45" i="3"/>
  <c r="AC45" i="3"/>
  <c r="AD45" i="3"/>
  <c r="AE45" i="3"/>
  <c r="AF45" i="3"/>
  <c r="T46" i="3"/>
  <c r="U46" i="3"/>
  <c r="V46" i="3"/>
  <c r="W46" i="3"/>
  <c r="X46" i="3"/>
  <c r="Y46" i="3"/>
  <c r="Z46" i="3"/>
  <c r="AA46" i="3"/>
  <c r="AB46" i="3"/>
  <c r="AC46" i="3"/>
  <c r="AD46" i="3"/>
  <c r="AE46" i="3"/>
  <c r="AF46" i="3"/>
  <c r="T47" i="3"/>
  <c r="U47" i="3"/>
  <c r="V47" i="3"/>
  <c r="W47" i="3"/>
  <c r="X47" i="3"/>
  <c r="Y47" i="3"/>
  <c r="Z47" i="3"/>
  <c r="AA47" i="3"/>
  <c r="AB47" i="3"/>
  <c r="AC47" i="3"/>
  <c r="AD47" i="3"/>
  <c r="AE47" i="3"/>
  <c r="AF47" i="3"/>
  <c r="T48" i="3"/>
  <c r="U48" i="3"/>
  <c r="V48" i="3"/>
  <c r="W48" i="3"/>
  <c r="X48" i="3"/>
  <c r="Y48" i="3"/>
  <c r="Z48" i="3"/>
  <c r="AA48" i="3"/>
  <c r="AB48" i="3"/>
  <c r="AC48" i="3"/>
  <c r="AD48" i="3"/>
  <c r="AE48" i="3"/>
  <c r="AF48" i="3"/>
  <c r="T49" i="3"/>
  <c r="U49" i="3"/>
  <c r="V49" i="3"/>
  <c r="W49" i="3"/>
  <c r="X49" i="3"/>
  <c r="Y49" i="3"/>
  <c r="Z49" i="3"/>
  <c r="AA49" i="3"/>
  <c r="AB49" i="3"/>
  <c r="AC49" i="3"/>
  <c r="AD49" i="3"/>
  <c r="AE49" i="3"/>
  <c r="AF49" i="3"/>
  <c r="T50" i="3"/>
  <c r="AG50" i="3" s="1"/>
  <c r="U50" i="3"/>
  <c r="V50" i="3"/>
  <c r="W50" i="3"/>
  <c r="X50" i="3"/>
  <c r="Y50" i="3"/>
  <c r="Z50" i="3"/>
  <c r="AA50" i="3"/>
  <c r="AB50" i="3"/>
  <c r="AC50" i="3"/>
  <c r="AD50" i="3"/>
  <c r="AE50" i="3"/>
  <c r="AF50" i="3"/>
  <c r="T51" i="3"/>
  <c r="U51" i="3"/>
  <c r="V51" i="3"/>
  <c r="W51" i="3"/>
  <c r="X51" i="3"/>
  <c r="Y51" i="3"/>
  <c r="Z51" i="3"/>
  <c r="AA51" i="3"/>
  <c r="AB51" i="3"/>
  <c r="AC51" i="3"/>
  <c r="AD51" i="3"/>
  <c r="AE51" i="3"/>
  <c r="AF51" i="3"/>
  <c r="T52" i="3"/>
  <c r="U52" i="3"/>
  <c r="V52" i="3"/>
  <c r="W52" i="3"/>
  <c r="X52" i="3"/>
  <c r="Y52" i="3"/>
  <c r="Z52" i="3"/>
  <c r="AA52" i="3"/>
  <c r="AB52" i="3"/>
  <c r="AC52" i="3"/>
  <c r="AD52" i="3"/>
  <c r="AE52" i="3"/>
  <c r="AF52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T58" i="3"/>
  <c r="AG58" i="3" s="1"/>
  <c r="U58" i="3"/>
  <c r="V58" i="3"/>
  <c r="W58" i="3"/>
  <c r="X58" i="3"/>
  <c r="Y58" i="3"/>
  <c r="Z58" i="3"/>
  <c r="AA58" i="3"/>
  <c r="AB58" i="3"/>
  <c r="AC58" i="3"/>
  <c r="AD58" i="3"/>
  <c r="AE58" i="3"/>
  <c r="AF58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T10" i="3"/>
  <c r="AG10" i="3" s="1"/>
  <c r="U10" i="3"/>
  <c r="V10" i="3"/>
  <c r="W10" i="3"/>
  <c r="X10" i="3"/>
  <c r="Y10" i="3"/>
  <c r="Z10" i="3"/>
  <c r="AA10" i="3"/>
  <c r="AB10" i="3"/>
  <c r="AC10" i="3"/>
  <c r="AD10" i="3"/>
  <c r="AE10" i="3"/>
  <c r="AF10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T18" i="3"/>
  <c r="AG18" i="3" s="1"/>
  <c r="U18" i="3"/>
  <c r="V18" i="3"/>
  <c r="W18" i="3"/>
  <c r="X18" i="3"/>
  <c r="Y18" i="3"/>
  <c r="Z18" i="3"/>
  <c r="AA18" i="3"/>
  <c r="AB18" i="3"/>
  <c r="AC18" i="3"/>
  <c r="AD18" i="3"/>
  <c r="AE18" i="3"/>
  <c r="AF18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T26" i="3"/>
  <c r="AG26" i="3" s="1"/>
  <c r="U26" i="3"/>
  <c r="V26" i="3"/>
  <c r="W26" i="3"/>
  <c r="X26" i="3"/>
  <c r="Y26" i="3"/>
  <c r="Z26" i="3"/>
  <c r="AA26" i="3"/>
  <c r="AB26" i="3"/>
  <c r="AC26" i="3"/>
  <c r="AD26" i="3"/>
  <c r="AE26" i="3"/>
  <c r="AF26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F3" i="3"/>
  <c r="AE3" i="3"/>
  <c r="AD3" i="3"/>
  <c r="AC3" i="3"/>
  <c r="AB3" i="3"/>
  <c r="AA3" i="3"/>
  <c r="Z3" i="3"/>
  <c r="Y3" i="3"/>
  <c r="X3" i="3"/>
  <c r="W3" i="3"/>
  <c r="V3" i="3"/>
  <c r="U3" i="3"/>
  <c r="T3" i="3"/>
  <c r="AG3" i="3" l="1"/>
  <c r="AG45" i="3"/>
  <c r="AG48" i="3"/>
  <c r="AG27" i="3"/>
  <c r="AG59" i="3"/>
  <c r="AG30" i="3"/>
  <c r="AG22" i="3"/>
  <c r="AG14" i="3"/>
  <c r="AG6" i="3"/>
  <c r="AG54" i="3"/>
  <c r="AG46" i="3"/>
  <c r="AG38" i="3"/>
  <c r="AG29" i="3"/>
  <c r="AG13" i="3"/>
  <c r="AG5" i="3"/>
  <c r="AG16" i="3"/>
  <c r="AG17" i="3"/>
  <c r="AG9" i="3"/>
  <c r="AG57" i="3"/>
  <c r="AG49" i="3"/>
  <c r="AG41" i="3"/>
  <c r="AG33" i="3"/>
  <c r="AG36" i="3"/>
  <c r="AG21" i="3"/>
  <c r="AG53" i="3"/>
  <c r="AG32" i="3"/>
  <c r="AG24" i="3"/>
  <c r="AG8" i="3"/>
  <c r="AG56" i="3"/>
  <c r="AG19" i="3"/>
  <c r="AG11" i="3"/>
  <c r="AG51" i="3"/>
  <c r="AG43" i="3"/>
  <c r="AG25" i="3"/>
  <c r="AG28" i="3"/>
  <c r="AG20" i="3"/>
  <c r="AG12" i="3"/>
  <c r="AG4" i="3"/>
  <c r="AG52" i="3"/>
  <c r="AG44" i="3"/>
  <c r="AG31" i="3"/>
  <c r="AG23" i="3"/>
  <c r="AG15" i="3"/>
  <c r="AG7" i="3"/>
  <c r="AG55" i="3"/>
  <c r="AG47" i="3"/>
  <c r="AG39" i="3"/>
  <c r="AG34" i="3"/>
  <c r="AG37" i="3"/>
  <c r="AG40" i="3"/>
  <c r="AG3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Lucinda Harrison</author>
  </authors>
  <commentList>
    <comment ref="C1" authorId="0" shapeId="0" xr:uid="{AE668D6E-61E3-6448-87CB-74F9A60BE799}">
      <text>
        <r>
          <rPr>
            <b/>
            <sz val="10"/>
            <color rgb="FF000000"/>
            <rFont val="Tahoma"/>
            <family val="2"/>
          </rPr>
          <t>Lucinda Harrison: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note: Data in Supp. Table 4 is by district. LH to check site coords against site names and label districts to link to Supp table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Lucinda Harrison</author>
  </authors>
  <commentList>
    <comment ref="D18" authorId="0" shapeId="0" xr:uid="{B0788073-3CE2-7444-A4E8-5A3FC4B8B87F}">
      <text>
        <r>
          <rPr>
            <b/>
            <sz val="10"/>
            <color rgb="FF000000"/>
            <rFont val="Tahoma"/>
            <family val="2"/>
          </rPr>
          <t>Lucinda Harrison: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 think this is Siamuleya?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9E33F5-B281-104F-BBBC-6249ECD629D9}" keepAlive="1" name="Query - Table" description="Connection to the 'Table' query in the workbook." type="5" refreshedVersion="0" background="1">
    <dbPr connection="Provider=Microsoft.Mashup.OleDb.1;Data Source=$Workbook$;Location=Table;Extended Properties=&quot;&quot;" command="SELECT * FROM [Table]"/>
  </connection>
  <connection id="2" xr16:uid="{89538C6E-2167-854A-B4C0-1481CAB80599}" keepAlive="1" name="Query - Table (2)" description="Connection to the 'Table (2)' query in the workbook." type="5" refreshedVersion="8" background="1" saveData="1">
    <dbPr connection="Provider=Microsoft.Mashup.OleDb.1;Data Source=$Workbook$;Location=&quot;Table (2)&quot;;Extended Properties=&quot;&quot;" command="SELECT * FROM [Table (2)]"/>
  </connection>
</connections>
</file>

<file path=xl/sharedStrings.xml><?xml version="1.0" encoding="utf-8"?>
<sst xmlns="http://schemas.openxmlformats.org/spreadsheetml/2006/main" count="3046" uniqueCount="324">
  <si>
    <t>Africa</t>
  </si>
  <si>
    <t>Zambia</t>
  </si>
  <si>
    <t>Chalata Rural Health Centre</t>
  </si>
  <si>
    <t>-13.54786606</t>
  </si>
  <si>
    <t>29.68663309</t>
  </si>
  <si>
    <t>P441L</t>
  </si>
  <si>
    <t>WHO Candidate</t>
  </si>
  <si>
    <t>3.45</t>
  </si>
  <si>
    <t>Plasmodium falciparum genomic surveillance reveals a diversity of kelch13 mutations in Zambia</t>
  </si>
  <si>
    <t>P574L</t>
  </si>
  <si>
    <t>WHO validated</t>
  </si>
  <si>
    <t>3.33</t>
  </si>
  <si>
    <t>A578S</t>
  </si>
  <si>
    <t>Widespread other</t>
  </si>
  <si>
    <t>R622T</t>
  </si>
  <si>
    <t>Other NS</t>
  </si>
  <si>
    <t>1.85</t>
  </si>
  <si>
    <t>R667A</t>
  </si>
  <si>
    <t>3.39</t>
  </si>
  <si>
    <t>WT</t>
  </si>
  <si>
    <t>Sensitive</t>
  </si>
  <si>
    <t>15.47</t>
  </si>
  <si>
    <t>84.53</t>
  </si>
  <si>
    <t>Chingi Rural Health Centre</t>
  </si>
  <si>
    <t>-13.08285083</t>
  </si>
  <si>
    <t>22.68883678</t>
  </si>
  <si>
    <t>1.32</t>
  </si>
  <si>
    <t>3.7</t>
  </si>
  <si>
    <t>6.02</t>
  </si>
  <si>
    <t>93.98</t>
  </si>
  <si>
    <t>94.98</t>
  </si>
  <si>
    <t>Chitanda Rural Health Centre</t>
  </si>
  <si>
    <t>-13.02586276</t>
  </si>
  <si>
    <t>22.94714854</t>
  </si>
  <si>
    <t>4.00</t>
  </si>
  <si>
    <t>6.00</t>
  </si>
  <si>
    <t>Chiyabi Rural Health Centre</t>
  </si>
  <si>
    <t>-33.99170315</t>
  </si>
  <si>
    <t>18.58577797</t>
  </si>
  <si>
    <t>R539I</t>
  </si>
  <si>
    <t>4.76</t>
  </si>
  <si>
    <t>7.69</t>
  </si>
  <si>
    <t>79.55</t>
  </si>
  <si>
    <t>20.45</t>
  </si>
  <si>
    <t>Kabompo Hospital Affiliated HC</t>
  </si>
  <si>
    <t>-13.70511001</t>
  </si>
  <si>
    <t>24.25400863</t>
  </si>
  <si>
    <t>1.25</t>
  </si>
  <si>
    <t>7.14</t>
  </si>
  <si>
    <t>10.00</t>
  </si>
  <si>
    <t>3.75</t>
  </si>
  <si>
    <t>R667S</t>
  </si>
  <si>
    <t>4.55</t>
  </si>
  <si>
    <t>15.65</t>
  </si>
  <si>
    <t>84.35</t>
  </si>
  <si>
    <t>74.35</t>
  </si>
  <si>
    <t>Kapululira RHC</t>
  </si>
  <si>
    <t>-15.96268898</t>
  </si>
  <si>
    <t>28.89162125</t>
  </si>
  <si>
    <t>4.17</t>
  </si>
  <si>
    <t>2.74</t>
  </si>
  <si>
    <t>5.21</t>
  </si>
  <si>
    <t>94.79</t>
  </si>
  <si>
    <t>Katima Mulilo Urban Clinic</t>
  </si>
  <si>
    <t>-17.45905698</t>
  </si>
  <si>
    <t>24.3205669</t>
  </si>
  <si>
    <t>31.03</t>
  </si>
  <si>
    <t>-17.50617423</t>
  </si>
  <si>
    <t>24.28001212</t>
  </si>
  <si>
    <t>34.48</t>
  </si>
  <si>
    <t>65.52</t>
  </si>
  <si>
    <t>Loloma hospital affiliated HC</t>
  </si>
  <si>
    <t>-13.35318669</t>
  </si>
  <si>
    <t>24.69103216</t>
  </si>
  <si>
    <t>6.25</t>
  </si>
  <si>
    <t>93.75</t>
  </si>
  <si>
    <t>Mporokoso township RHC</t>
  </si>
  <si>
    <t>-9.451155388</t>
  </si>
  <si>
    <t>29.94805736</t>
  </si>
  <si>
    <t>A675V</t>
  </si>
  <si>
    <t>2.63</t>
  </si>
  <si>
    <t>8.88</t>
  </si>
  <si>
    <t>91.12</t>
  </si>
  <si>
    <t>Mpumba Health Post</t>
  </si>
  <si>
    <t>-12.61841153</t>
  </si>
  <si>
    <t>31.00474717</t>
  </si>
  <si>
    <t>30.00</t>
  </si>
  <si>
    <t>6.9</t>
  </si>
  <si>
    <t>3.57</t>
  </si>
  <si>
    <t>48.63</t>
  </si>
  <si>
    <t>75.3</t>
  </si>
  <si>
    <t>24.7</t>
  </si>
  <si>
    <t>75.30</t>
  </si>
  <si>
    <t>Muchinka Rural Health Centre</t>
  </si>
  <si>
    <t>-12.94928443</t>
  </si>
  <si>
    <t>30.76908728</t>
  </si>
  <si>
    <t>21.43</t>
  </si>
  <si>
    <t>11.43</t>
  </si>
  <si>
    <t>88.57</t>
  </si>
  <si>
    <t>78.57</t>
  </si>
  <si>
    <t>Mungwi Rural Health Centre</t>
  </si>
  <si>
    <t>-11.54704377</t>
  </si>
  <si>
    <t>29.16502029</t>
  </si>
  <si>
    <t>N537S</t>
  </si>
  <si>
    <t>1.39</t>
  </si>
  <si>
    <t>2.7</t>
  </si>
  <si>
    <t>1.54</t>
  </si>
  <si>
    <t>6.73</t>
  </si>
  <si>
    <t>93.27</t>
  </si>
  <si>
    <t>Namukolo Urban Health Centre</t>
  </si>
  <si>
    <t>-13.66071541</t>
  </si>
  <si>
    <t>31.02115414</t>
  </si>
  <si>
    <t>3.08</t>
  </si>
  <si>
    <t>96.92</t>
  </si>
  <si>
    <t>Shangombo Rural Health Centre</t>
  </si>
  <si>
    <t>-16.32078432</t>
  </si>
  <si>
    <t>22.09278773</t>
  </si>
  <si>
    <t>4.23</t>
  </si>
  <si>
    <t>2.13</t>
  </si>
  <si>
    <t>8.81</t>
  </si>
  <si>
    <t>91.19</t>
  </si>
  <si>
    <t>7.27</t>
  </si>
  <si>
    <t>5.45</t>
  </si>
  <si>
    <t>1.69</t>
  </si>
  <si>
    <t>17.72</t>
  </si>
  <si>
    <t>82.28</t>
  </si>
  <si>
    <t>62.28</t>
  </si>
  <si>
    <t>Siamuleya Rural Health Centre</t>
  </si>
  <si>
    <t>9.52</t>
  </si>
  <si>
    <t>8.52</t>
  </si>
  <si>
    <t>91.48</t>
  </si>
  <si>
    <t>Sikongo Rural Health Centre</t>
  </si>
  <si>
    <t>-16.90345721</t>
  </si>
  <si>
    <t>27.48560516</t>
  </si>
  <si>
    <t>1.67</t>
  </si>
  <si>
    <t>5.01</t>
  </si>
  <si>
    <t>94.99</t>
  </si>
  <si>
    <t>Yuka MCH/OPD Rural Health Centre</t>
  </si>
  <si>
    <t>-14.98469201</t>
  </si>
  <si>
    <t>22.61367576</t>
  </si>
  <si>
    <t>96.3</t>
  </si>
  <si>
    <t>96.30</t>
  </si>
  <si>
    <t>Zambezi District Hospital Affiliated HC</t>
  </si>
  <si>
    <t>-13.54281643</t>
  </si>
  <si>
    <t>23.10961054</t>
  </si>
  <si>
    <t>C469Y</t>
  </si>
  <si>
    <t>6.67</t>
  </si>
  <si>
    <t>10.53</t>
  </si>
  <si>
    <t>32.17</t>
  </si>
  <si>
    <t>67.83</t>
  </si>
  <si>
    <t>Continent</t>
  </si>
  <si>
    <t>Country</t>
  </si>
  <si>
    <t>Site Name</t>
  </si>
  <si>
    <t>Latitude</t>
  </si>
  <si>
    <t>Longitude</t>
  </si>
  <si>
    <t>Site Name/District/Country</t>
  </si>
  <si>
    <t>Start Year</t>
  </si>
  <si>
    <t>End Year</t>
  </si>
  <si>
    <t>Marker</t>
  </si>
  <si>
    <t>Marker_Classification</t>
  </si>
  <si>
    <t>Present</t>
  </si>
  <si>
    <t>Tested</t>
  </si>
  <si>
    <t>Prevalence (%)</t>
  </si>
  <si>
    <t>PubMedID</t>
  </si>
  <si>
    <t>Year Published</t>
  </si>
  <si>
    <t>Title</t>
  </si>
  <si>
    <t>Authors</t>
  </si>
  <si>
    <t>Andrés Aranda-Díaz. Sydney Mwanza. Takalani I Makhanthisa. Sonja B Lauterbach. Faith De Amaral. Mukosha Chisenga. Brighton Mangena. Isobel Routledge. Blaženka Letinić. Bertha Kasonde. Gershom Chongwe. Mulenga C Mwenda. John M Miller. Tricia Hibwato. Chirwa Jacob. Busiku Hamainza. Stephen Bwalya. Japhet Chiwaula. Japhet Matoba. Chadwick Sikaala. John Chimumbwa. Amy Wesolowski. Jennifer L Smith. Jaishree Raman. Moonga Hawela</t>
  </si>
  <si>
    <t>District</t>
  </si>
  <si>
    <t>Province</t>
  </si>
  <si>
    <t>Central</t>
  </si>
  <si>
    <t>Luapula</t>
  </si>
  <si>
    <t>Northern</t>
  </si>
  <si>
    <t xml:space="preserve">District </t>
  </si>
  <si>
    <r>
      <t>k13</t>
    </r>
    <r>
      <rPr>
        <b/>
        <sz val="9"/>
        <color rgb="FF000000"/>
        <rFont val="Arial"/>
        <family val="2"/>
      </rPr>
      <t xml:space="preserve"> 441 </t>
    </r>
  </si>
  <si>
    <r>
      <t>k13</t>
    </r>
    <r>
      <rPr>
        <b/>
        <sz val="9"/>
        <color rgb="FF000000"/>
        <rFont val="Arial"/>
        <family val="2"/>
      </rPr>
      <t xml:space="preserve"> 539 </t>
    </r>
  </si>
  <si>
    <r>
      <t>k13</t>
    </r>
    <r>
      <rPr>
        <b/>
        <sz val="9"/>
        <color rgb="FF000000"/>
        <rFont val="Arial"/>
        <family val="2"/>
      </rPr>
      <t xml:space="preserve"> 574 </t>
    </r>
  </si>
  <si>
    <r>
      <t>k13</t>
    </r>
    <r>
      <rPr>
        <b/>
        <sz val="9"/>
        <color rgb="FF000000"/>
        <rFont val="Arial"/>
        <family val="2"/>
      </rPr>
      <t xml:space="preserve"> 578 </t>
    </r>
  </si>
  <si>
    <r>
      <t>k13</t>
    </r>
    <r>
      <rPr>
        <b/>
        <sz val="9"/>
        <color rgb="FF000000"/>
        <rFont val="Arial"/>
        <family val="2"/>
      </rPr>
      <t xml:space="preserve"> 622 </t>
    </r>
  </si>
  <si>
    <r>
      <t>k13</t>
    </r>
    <r>
      <rPr>
        <b/>
        <sz val="9"/>
        <color rgb="FF000000"/>
        <rFont val="Arial"/>
        <family val="2"/>
      </rPr>
      <t xml:space="preserve"> 667 </t>
    </r>
  </si>
  <si>
    <t xml:space="preserve">L </t>
  </si>
  <si>
    <t xml:space="preserve">P </t>
  </si>
  <si>
    <t xml:space="preserve">I </t>
  </si>
  <si>
    <t xml:space="preserve">R </t>
  </si>
  <si>
    <t xml:space="preserve">A </t>
  </si>
  <si>
    <t xml:space="preserve">S </t>
  </si>
  <si>
    <t xml:space="preserve">T </t>
  </si>
  <si>
    <t xml:space="preserve">Kalabo </t>
  </si>
  <si>
    <t xml:space="preserve">1 (1 - 1) </t>
  </si>
  <si>
    <t xml:space="preserve">0.066 (0.017 - 0.167) </t>
  </si>
  <si>
    <t xml:space="preserve">Sesheke </t>
  </si>
  <si>
    <t xml:space="preserve">0.168 (0.081 - 0.293) </t>
  </si>
  <si>
    <t xml:space="preserve">0.078 (0.023 - 0.179) </t>
  </si>
  <si>
    <t xml:space="preserve">Shangombo </t>
  </si>
  <si>
    <t xml:space="preserve">0.035 (0.012 - 0.076) </t>
  </si>
  <si>
    <t xml:space="preserve">0.011 (0.001 - 0.034) </t>
  </si>
  <si>
    <t xml:space="preserve">0.006 (0 - </t>
  </si>
  <si>
    <t xml:space="preserve">Sikongo </t>
  </si>
  <si>
    <t xml:space="preserve">0.013 (0.002 - 0.041) </t>
  </si>
  <si>
    <t xml:space="preserve">0.039 (0.012 - 0.081) </t>
  </si>
  <si>
    <t xml:space="preserve">Chavuma </t>
  </si>
  <si>
    <t xml:space="preserve">0.017 (0.004 - 0.045) </t>
  </si>
  <si>
    <t xml:space="preserve">0.138 (0.085 - 0.211) </t>
  </si>
  <si>
    <t xml:space="preserve">Kabompo </t>
  </si>
  <si>
    <t xml:space="preserve">0.012 (0 - </t>
  </si>
  <si>
    <t xml:space="preserve">0.039 (0.006 - 0.116) </t>
  </si>
  <si>
    <t xml:space="preserve">Manyinga </t>
  </si>
  <si>
    <t xml:space="preserve">0.018 (0.005 - 0.043) </t>
  </si>
  <si>
    <t xml:space="preserve">0.045 (0.02 - </t>
  </si>
  <si>
    <t xml:space="preserve">0.071 (0.041 - 0.112) </t>
  </si>
  <si>
    <t xml:space="preserve">Mwinilunga </t>
  </si>
  <si>
    <t xml:space="preserve">0.025 (0.006 - 0.067) </t>
  </si>
  <si>
    <t xml:space="preserve">Zambezi </t>
  </si>
  <si>
    <t xml:space="preserve">0e0 (0e0 - </t>
  </si>
  <si>
    <t xml:space="preserve">0.193 (0.104 - 0.311) </t>
  </si>
  <si>
    <t xml:space="preserve">Chikankata </t>
  </si>
  <si>
    <t xml:space="preserve">Chirundu </t>
  </si>
  <si>
    <t xml:space="preserve">Kazungula </t>
  </si>
  <si>
    <t xml:space="preserve">0.044 (0.007 - 0.153) </t>
  </si>
  <si>
    <t xml:space="preserve">0.08 (0.021 - </t>
  </si>
  <si>
    <t xml:space="preserve">Pemba </t>
  </si>
  <si>
    <t xml:space="preserve">Sinazongwe </t>
  </si>
  <si>
    <t xml:space="preserve">Kalulushi </t>
  </si>
  <si>
    <t xml:space="preserve">Luanshya </t>
  </si>
  <si>
    <t xml:space="preserve">Lufwanyama </t>
  </si>
  <si>
    <t xml:space="preserve">Masaiti </t>
  </si>
  <si>
    <t xml:space="preserve">Mpongwe </t>
  </si>
  <si>
    <t xml:space="preserve">Mufulira </t>
  </si>
  <si>
    <t xml:space="preserve">Ndola </t>
  </si>
  <si>
    <t xml:space="preserve">Kafue </t>
  </si>
  <si>
    <t xml:space="preserve">Rufunsa </t>
  </si>
  <si>
    <t xml:space="preserve">0.008 (0.001 - 0.029) </t>
  </si>
  <si>
    <t xml:space="preserve">Chibombo </t>
  </si>
  <si>
    <t xml:space="preserve">0.306 (0.235 - 0.384) </t>
  </si>
  <si>
    <t xml:space="preserve">0.033 (0.01 - </t>
  </si>
  <si>
    <t xml:space="preserve">Chisamba </t>
  </si>
  <si>
    <t xml:space="preserve">Chitambo </t>
  </si>
  <si>
    <t xml:space="preserve">Kabwe </t>
  </si>
  <si>
    <t xml:space="preserve">Luano </t>
  </si>
  <si>
    <t xml:space="preserve">Mkushi </t>
  </si>
  <si>
    <t xml:space="preserve">Serenje </t>
  </si>
  <si>
    <t xml:space="preserve">Chembe </t>
  </si>
  <si>
    <t xml:space="preserve">Chifunabuli </t>
  </si>
  <si>
    <t xml:space="preserve">Chipili </t>
  </si>
  <si>
    <t xml:space="preserve">0.007 (0 - </t>
  </si>
  <si>
    <t xml:space="preserve">Lunga </t>
  </si>
  <si>
    <t xml:space="preserve">Milenge </t>
  </si>
  <si>
    <t xml:space="preserve">0.003 (0 - </t>
  </si>
  <si>
    <t xml:space="preserve">Mwansa- bombwe </t>
  </si>
  <si>
    <t xml:space="preserve">Mwense </t>
  </si>
  <si>
    <t xml:space="preserve">Nchelenge </t>
  </si>
  <si>
    <t xml:space="preserve">Samfya </t>
  </si>
  <si>
    <t xml:space="preserve">Luwingu </t>
  </si>
  <si>
    <t xml:space="preserve">Mbala </t>
  </si>
  <si>
    <t xml:space="preserve">Mporokoso </t>
  </si>
  <si>
    <t xml:space="preserve">Mpulungu </t>
  </si>
  <si>
    <t xml:space="preserve">Mungwi </t>
  </si>
  <si>
    <t xml:space="preserve">Senga </t>
  </si>
  <si>
    <t xml:space="preserve">Kanchibiya </t>
  </si>
  <si>
    <t xml:space="preserve">Lavushimanda </t>
  </si>
  <si>
    <t xml:space="preserve">Mafinga </t>
  </si>
  <si>
    <t xml:space="preserve">Nakonde </t>
  </si>
  <si>
    <t xml:space="preserve">Shiwangandu </t>
  </si>
  <si>
    <t xml:space="preserve">Chipata </t>
  </si>
  <si>
    <t xml:space="preserve">Katete </t>
  </si>
  <si>
    <t xml:space="preserve">Nyimba </t>
  </si>
  <si>
    <t xml:space="preserve">Petauke </t>
  </si>
  <si>
    <t xml:space="preserve">Sinda </t>
  </si>
  <si>
    <t xml:space="preserve">Vubwi </t>
  </si>
  <si>
    <t>Samples</t>
  </si>
  <si>
    <t>health facilities</t>
  </si>
  <si>
    <t xml:space="preserve">Chililabombwe </t>
  </si>
  <si>
    <t xml:space="preserve">441L </t>
  </si>
  <si>
    <t>P441</t>
  </si>
  <si>
    <t xml:space="preserve">539I </t>
  </si>
  <si>
    <t>R529</t>
  </si>
  <si>
    <t xml:space="preserve">574L </t>
  </si>
  <si>
    <t>P574</t>
  </si>
  <si>
    <t>A578</t>
  </si>
  <si>
    <t xml:space="preserve">578S </t>
  </si>
  <si>
    <t xml:space="preserve">R622 </t>
  </si>
  <si>
    <t xml:space="preserve">622T </t>
  </si>
  <si>
    <t xml:space="preserve">667A </t>
  </si>
  <si>
    <t>P667</t>
  </si>
  <si>
    <t xml:space="preserve">667S </t>
  </si>
  <si>
    <t>(clinic is in Namibia)</t>
  </si>
  <si>
    <t>(this coord is in Zambia)</t>
  </si>
  <si>
    <t>notes</t>
  </si>
  <si>
    <t>chimutanda</t>
  </si>
  <si>
    <t>-12.9373007, 30.4400436</t>
  </si>
  <si>
    <t>https://doctor4africa.com/listing/central-province,zambia/hospital,rural-health-center/muchinka-rural-health-centre/#listing-location</t>
  </si>
  <si>
    <t>-13.550789628589406, 29.683063100432076</t>
  </si>
  <si>
    <t>-13.082976250350542, 22.6883969</t>
  </si>
  <si>
    <t>-14.639015685851902, 27.594667795547192</t>
  </si>
  <si>
    <t>GR is quite off?</t>
  </si>
  <si>
    <t>-17.06964100863481, 27.670199995600598</t>
  </si>
  <si>
    <t>near sinazongwe?</t>
  </si>
  <si>
    <t>-13.707575467122243, 24.244560319273013</t>
  </si>
  <si>
    <t>google_maps_gref</t>
  </si>
  <si>
    <t>-15.962791946873411, 28.891433242238776</t>
  </si>
  <si>
    <t>-17.500666369659644, 24.278626684083562</t>
  </si>
  <si>
    <t>-13.395475607907255, 24.314855709903345</t>
  </si>
  <si>
    <t>guessing - provided coord is 20km away but district name Tumbama does not appear in list in TS4</t>
  </si>
  <si>
    <t>-9.369980767799005, 30.120702297143268</t>
  </si>
  <si>
    <t>-12.616964163682269, 31.004158591885435</t>
  </si>
  <si>
    <t>-10.166912431424159, 31.36471552430589</t>
  </si>
  <si>
    <t>-10.255187989863641, 29.924172166635042</t>
  </si>
  <si>
    <t>"Nakukolo"? GR is quite distant</t>
  </si>
  <si>
    <t>-16.320877, 22.092058171163913</t>
  </si>
  <si>
    <t>-16.947429109688887, 27.33323875326984</t>
  </si>
  <si>
    <t>-16.088007401923996, 28.698616895578105</t>
  </si>
  <si>
    <t>-14.984768885548323, 22.613146795554258</t>
  </si>
  <si>
    <t>-13.542847678393557, 23.10962122436172</t>
  </si>
  <si>
    <t>Latitude_google</t>
  </si>
  <si>
    <t>Longitude_google</t>
  </si>
  <si>
    <t>Western</t>
  </si>
  <si>
    <t>North-western</t>
  </si>
  <si>
    <t>Southern</t>
  </si>
  <si>
    <t>Copperbelt</t>
  </si>
  <si>
    <t>Lusaka</t>
  </si>
  <si>
    <t>Muchinga</t>
  </si>
  <si>
    <t>Eastern</t>
  </si>
  <si>
    <t>Mkushi</t>
  </si>
  <si>
    <t xml:space="preserve">Mwansabombwe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</si>
</sst>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i/>
      <sz val="9"/>
      <color rgb="FF000000"/>
      <name val="Arial"/>
      <family val="2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</fills>
  <borders count="24">
    <border>
      <left/>
      <right/>
      <top/>
      <bottom/>
      <diagonal/>
    </border>
    <border>
      <left style="thick">
        <color rgb="FF000000"/>
      </left>
      <right style="medium">
        <color rgb="FFCCCCCC"/>
      </right>
      <top style="thick">
        <color rgb="FF000000"/>
      </top>
      <bottom/>
      <diagonal/>
    </border>
    <border>
      <left/>
      <right style="medium">
        <color rgb="FFCCCCCC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CCCCCC"/>
      </bottom>
      <diagonal/>
    </border>
    <border>
      <left/>
      <right/>
      <top style="thick">
        <color rgb="FF000000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/>
      <diagonal/>
    </border>
    <border>
      <left/>
      <right style="thick">
        <color rgb="FF000000"/>
      </right>
      <top/>
      <bottom style="medium">
        <color rgb="FFCCCCCC"/>
      </bottom>
      <diagonal/>
    </border>
    <border>
      <left/>
      <right style="thick">
        <color rgb="FF000000"/>
      </right>
      <top/>
      <bottom/>
      <diagonal/>
    </border>
    <border>
      <left style="medium">
        <color rgb="FFCCCCCC"/>
      </left>
      <right style="medium">
        <color rgb="FFCCCCCC"/>
      </right>
      <top style="thick">
        <color rgb="FF000000"/>
      </top>
      <bottom/>
      <diagonal/>
    </border>
    <border>
      <left style="medium">
        <color rgb="FFCCCCCC"/>
      </left>
      <right style="medium">
        <color rgb="FFCCCCCC"/>
      </right>
      <top/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/>
      <diagonal/>
    </border>
    <border>
      <left style="medium">
        <color rgb="FFCCCCCC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/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/>
      <right style="thick">
        <color rgb="FF000000"/>
      </right>
      <top style="medium">
        <color rgb="FFCCCCCC"/>
      </top>
      <bottom/>
      <diagonal/>
    </border>
    <border>
      <left/>
      <right/>
      <top/>
      <bottom style="thick">
        <color rgb="FF000000"/>
      </bottom>
      <diagonal/>
    </border>
    <border>
      <left style="medium">
        <color rgb="FFCCCCCC"/>
      </left>
      <right/>
      <top style="thick">
        <color rgb="FF000000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/>
      <bottom style="medium">
        <color rgb="FFCCCCCC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11" fontId="4" fillId="0" borderId="7" xfId="0" applyNumberFormat="1" applyFont="1" applyBorder="1" applyAlignment="1">
      <alignment vertical="center" wrapText="1"/>
    </xf>
    <xf numFmtId="0" fontId="4" fillId="0" borderId="7" xfId="0" applyFont="1" applyBorder="1" applyAlignment="1">
      <alignment horizontal="justify" vertical="center" wrapText="1"/>
    </xf>
    <xf numFmtId="0" fontId="4" fillId="0" borderId="6" xfId="0" applyFont="1" applyBorder="1" applyAlignment="1">
      <alignment vertical="center" wrapText="1"/>
    </xf>
    <xf numFmtId="0" fontId="4" fillId="0" borderId="9" xfId="0" applyFont="1" applyBorder="1" applyAlignment="1">
      <alignment horizontal="justify" vertical="center" wrapText="1"/>
    </xf>
    <xf numFmtId="0" fontId="4" fillId="0" borderId="8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1" fontId="4" fillId="0" borderId="9" xfId="0" applyNumberFormat="1" applyFont="1" applyBorder="1" applyAlignment="1">
      <alignment vertical="center" wrapText="1"/>
    </xf>
    <xf numFmtId="0" fontId="5" fillId="0" borderId="12" xfId="0" applyFont="1" applyBorder="1" applyAlignment="1">
      <alignment vertical="top" wrapText="1"/>
    </xf>
    <xf numFmtId="0" fontId="4" fillId="0" borderId="18" xfId="0" applyFont="1" applyBorder="1" applyAlignment="1">
      <alignment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justify"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justify" vertical="center" wrapText="1"/>
    </xf>
    <xf numFmtId="0" fontId="4" fillId="0" borderId="16" xfId="0" applyFont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4" fillId="0" borderId="15" xfId="0" applyFont="1" applyBorder="1" applyAlignment="1">
      <alignment horizontal="justify" vertical="center" wrapText="1"/>
    </xf>
    <xf numFmtId="0" fontId="4" fillId="0" borderId="16" xfId="0" applyFont="1" applyBorder="1" applyAlignment="1">
      <alignment horizontal="justify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0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justify" vertical="center" wrapText="1"/>
    </xf>
    <xf numFmtId="0" fontId="4" fillId="0" borderId="17" xfId="0" applyFont="1" applyBorder="1" applyAlignment="1">
      <alignment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1" fontId="4" fillId="0" borderId="0" xfId="0" applyNumberFormat="1" applyFont="1" applyAlignment="1">
      <alignment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2" borderId="15" xfId="0" applyFont="1" applyFill="1" applyBorder="1" applyAlignment="1">
      <alignment vertical="center" wrapText="1"/>
    </xf>
    <xf numFmtId="0" fontId="0" fillId="3" borderId="0" xfId="0" applyFill="1"/>
    <xf numFmtId="0" fontId="5" fillId="0" borderId="10" xfId="0" applyFont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7" fillId="0" borderId="0" xfId="0" applyFont="1"/>
    <xf numFmtId="0" fontId="6" fillId="0" borderId="1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0" xfId="0" applyFont="1" applyBorder="1" applyAlignment="1">
      <alignment wrapText="1"/>
    </xf>
    <xf numFmtId="0" fontId="5" fillId="0" borderId="11" xfId="0" applyFont="1" applyBorder="1" applyAlignment="1">
      <alignment wrapText="1"/>
    </xf>
    <xf numFmtId="0" fontId="5" fillId="0" borderId="12" xfId="0" applyFont="1" applyBorder="1" applyAlignment="1">
      <alignment vertical="top" wrapText="1"/>
    </xf>
    <xf numFmtId="0" fontId="5" fillId="0" borderId="13" xfId="0" applyFont="1" applyBorder="1" applyAlignment="1">
      <alignment vertical="top" wrapText="1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3637</xdr:col>
      <xdr:colOff>482600</xdr:colOff>
      <xdr:row>0</xdr:row>
      <xdr:rowOff>0</xdr:rowOff>
    </xdr:from>
    <xdr:to>
      <xdr:col>6245</xdr:col>
      <xdr:colOff>241300</xdr:colOff>
      <xdr:row>40068</xdr:row>
      <xdr:rowOff>0</xdr:rowOff>
    </xdr:to>
    <xdr:sp macro="" textlink="">
      <xdr:nvSpPr>
        <xdr:cNvPr id="3090" name="Rectangle 53184">
          <a:extLst>
            <a:ext uri="{FF2B5EF4-FFF2-40B4-BE49-F238E27FC236}">
              <a16:creationId xmlns:a16="http://schemas.microsoft.com/office/drawing/2014/main" id="{D525E055-3237-2BF6-3B59-2FFD39E48152}"/>
            </a:ext>
          </a:extLst>
        </xdr:cNvPr>
        <xdr:cNvSpPr>
          <a:spLocks noChangeArrowheads="1"/>
        </xdr:cNvSpPr>
      </xdr:nvSpPr>
      <xdr:spPr bwMode="auto">
        <a:xfrm rot="-5399999">
          <a:off x="-260350" y="3001435450"/>
          <a:ext cx="8155533600" cy="215266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GB" sz="900" b="1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Province</a:t>
          </a:r>
        </a:p>
      </xdr:txBody>
    </xdr:sp>
    <xdr:clientData/>
  </xdr:twoCellAnchor>
  <xdr:twoCellAnchor>
    <xdr:from>
      <xdr:col>1</xdr:col>
      <xdr:colOff>0</xdr:colOff>
      <xdr:row>3911</xdr:row>
      <xdr:rowOff>50800</xdr:rowOff>
    </xdr:from>
    <xdr:to>
      <xdr:col>2609</xdr:col>
      <xdr:colOff>584200</xdr:colOff>
      <xdr:row>6552</xdr:row>
      <xdr:rowOff>127000</xdr:rowOff>
    </xdr:to>
    <xdr:sp macro="" textlink="">
      <xdr:nvSpPr>
        <xdr:cNvPr id="3089" name="Rectangle 53185">
          <a:extLst>
            <a:ext uri="{FF2B5EF4-FFF2-40B4-BE49-F238E27FC236}">
              <a16:creationId xmlns:a16="http://schemas.microsoft.com/office/drawing/2014/main" id="{9BED6D40-CEC3-2D81-B2D4-1BC86EFD48E0}"/>
            </a:ext>
          </a:extLst>
        </xdr:cNvPr>
        <xdr:cNvSpPr>
          <a:spLocks noChangeArrowheads="1"/>
        </xdr:cNvSpPr>
      </xdr:nvSpPr>
      <xdr:spPr bwMode="auto">
        <a:xfrm rot="-5399999">
          <a:off x="807967650" y="514350"/>
          <a:ext cx="536727400" cy="215266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GB" sz="900" b="1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 </a:t>
          </a:r>
        </a:p>
      </xdr:txBody>
    </xdr:sp>
    <xdr:clientData/>
  </xdr:twoCellAnchor>
  <xdr:twoCellAnchor>
    <xdr:from>
      <xdr:col>907</xdr:col>
      <xdr:colOff>76200</xdr:colOff>
      <xdr:row>133</xdr:row>
      <xdr:rowOff>165100</xdr:rowOff>
    </xdr:from>
    <xdr:to>
      <xdr:col>3514</xdr:col>
      <xdr:colOff>660400</xdr:colOff>
      <xdr:row>18081</xdr:row>
      <xdr:rowOff>114300</xdr:rowOff>
    </xdr:to>
    <xdr:sp macro="" textlink="">
      <xdr:nvSpPr>
        <xdr:cNvPr id="3088" name="Rectangle 53188">
          <a:extLst>
            <a:ext uri="{FF2B5EF4-FFF2-40B4-BE49-F238E27FC236}">
              <a16:creationId xmlns:a16="http://schemas.microsoft.com/office/drawing/2014/main" id="{AD4C7CF9-7801-C05F-94DA-F1F80D81970C}"/>
            </a:ext>
          </a:extLst>
        </xdr:cNvPr>
        <xdr:cNvSpPr>
          <a:spLocks noChangeArrowheads="1"/>
        </xdr:cNvSpPr>
      </xdr:nvSpPr>
      <xdr:spPr bwMode="auto">
        <a:xfrm rot="-5399999">
          <a:off x="-6350" y="788066750"/>
          <a:ext cx="3646982800" cy="215266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GB" sz="900" b="1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HFs</a:t>
          </a:r>
        </a:p>
      </xdr:txBody>
    </xdr:sp>
    <xdr:clientData/>
  </xdr:twoCellAnchor>
  <xdr:twoCellAnchor>
    <xdr:from>
      <xdr:col>1</xdr:col>
      <xdr:colOff>0</xdr:colOff>
      <xdr:row>1705</xdr:row>
      <xdr:rowOff>50800</xdr:rowOff>
    </xdr:from>
    <xdr:to>
      <xdr:col>1740</xdr:col>
      <xdr:colOff>393700</xdr:colOff>
      <xdr:row>5227</xdr:row>
      <xdr:rowOff>0</xdr:rowOff>
    </xdr:to>
    <xdr:sp macro="" textlink="">
      <xdr:nvSpPr>
        <xdr:cNvPr id="3087" name="Rectangle 53189">
          <a:extLst>
            <a:ext uri="{FF2B5EF4-FFF2-40B4-BE49-F238E27FC236}">
              <a16:creationId xmlns:a16="http://schemas.microsoft.com/office/drawing/2014/main" id="{2160A7BB-B332-6FA7-712A-A900FFE59BB2}"/>
            </a:ext>
          </a:extLst>
        </xdr:cNvPr>
        <xdr:cNvSpPr>
          <a:spLocks noChangeArrowheads="1"/>
        </xdr:cNvSpPr>
      </xdr:nvSpPr>
      <xdr:spPr bwMode="auto">
        <a:xfrm rot="-5399999">
          <a:off x="359746550" y="476250"/>
          <a:ext cx="715619600" cy="14351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GB" sz="600" b="1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a</a:t>
          </a:r>
        </a:p>
      </xdr:txBody>
    </xdr:sp>
    <xdr:clientData/>
  </xdr:twoCellAnchor>
  <xdr:twoCellAnchor>
    <xdr:from>
      <xdr:col>350</xdr:col>
      <xdr:colOff>622300</xdr:colOff>
      <xdr:row>3911</xdr:row>
      <xdr:rowOff>12700</xdr:rowOff>
    </xdr:from>
    <xdr:to>
      <xdr:col>2958</xdr:col>
      <xdr:colOff>381000</xdr:colOff>
      <xdr:row>6552</xdr:row>
      <xdr:rowOff>88900</xdr:rowOff>
    </xdr:to>
    <xdr:sp macro="" textlink="">
      <xdr:nvSpPr>
        <xdr:cNvPr id="3086" name="Rectangle 53190">
          <a:extLst>
            <a:ext uri="{FF2B5EF4-FFF2-40B4-BE49-F238E27FC236}">
              <a16:creationId xmlns:a16="http://schemas.microsoft.com/office/drawing/2014/main" id="{7E5B7F3C-58AE-B36E-1290-E207BBD44057}"/>
            </a:ext>
          </a:extLst>
        </xdr:cNvPr>
        <xdr:cNvSpPr>
          <a:spLocks noChangeArrowheads="1"/>
        </xdr:cNvSpPr>
      </xdr:nvSpPr>
      <xdr:spPr bwMode="auto">
        <a:xfrm rot="-5399999">
          <a:off x="1095863950" y="476250"/>
          <a:ext cx="536727400" cy="215266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GB" sz="900" b="1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 </a:t>
          </a:r>
        </a:p>
      </xdr:txBody>
    </xdr:sp>
    <xdr:clientData/>
  </xdr:twoCellAnchor>
  <xdr:twoCellAnchor>
    <xdr:from>
      <xdr:col>37</xdr:col>
      <xdr:colOff>12700</xdr:colOff>
      <xdr:row>0</xdr:row>
      <xdr:rowOff>0</xdr:rowOff>
    </xdr:from>
    <xdr:to>
      <xdr:col>63</xdr:col>
      <xdr:colOff>76200</xdr:colOff>
      <xdr:row>325</xdr:row>
      <xdr:rowOff>50800</xdr:rowOff>
    </xdr:to>
    <xdr:sp macro="" textlink="">
      <xdr:nvSpPr>
        <xdr:cNvPr id="3085" name="Rectangle 53191">
          <a:extLst>
            <a:ext uri="{FF2B5EF4-FFF2-40B4-BE49-F238E27FC236}">
              <a16:creationId xmlns:a16="http://schemas.microsoft.com/office/drawing/2014/main" id="{90C3DD90-8174-001A-3169-761AD47B69A9}"/>
            </a:ext>
          </a:extLst>
        </xdr:cNvPr>
        <xdr:cNvSpPr>
          <a:spLocks noChangeArrowheads="1"/>
        </xdr:cNvSpPr>
      </xdr:nvSpPr>
      <xdr:spPr bwMode="auto">
        <a:xfrm rot="-5399999">
          <a:off x="-234950" y="29140150"/>
          <a:ext cx="79806800" cy="21526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GB" sz="900" b="1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Samples</a:t>
          </a:r>
        </a:p>
      </xdr:txBody>
    </xdr:sp>
    <xdr:clientData/>
  </xdr:twoCellAnchor>
  <xdr:twoCellAnchor>
    <xdr:from>
      <xdr:col>3051</xdr:col>
      <xdr:colOff>609600</xdr:colOff>
      <xdr:row>0</xdr:row>
      <xdr:rowOff>0</xdr:rowOff>
    </xdr:from>
    <xdr:to>
      <xdr:col>5659</xdr:col>
      <xdr:colOff>368300</xdr:colOff>
      <xdr:row>35307</xdr:row>
      <xdr:rowOff>139700</xdr:rowOff>
    </xdr:to>
    <xdr:sp macro="" textlink="">
      <xdr:nvSpPr>
        <xdr:cNvPr id="3082" name="Rectangle 53334">
          <a:extLst>
            <a:ext uri="{FF2B5EF4-FFF2-40B4-BE49-F238E27FC236}">
              <a16:creationId xmlns:a16="http://schemas.microsoft.com/office/drawing/2014/main" id="{330A9374-1032-E087-09F9-B4960F9E8596}"/>
            </a:ext>
          </a:extLst>
        </xdr:cNvPr>
        <xdr:cNvSpPr>
          <a:spLocks noChangeArrowheads="1"/>
        </xdr:cNvSpPr>
      </xdr:nvSpPr>
      <xdr:spPr bwMode="auto">
        <a:xfrm rot="-5399999">
          <a:off x="-228600" y="2517787700"/>
          <a:ext cx="7188238100" cy="215266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Western</a:t>
          </a:r>
        </a:p>
      </xdr:txBody>
    </xdr:sp>
    <xdr:clientData/>
  </xdr:twoCellAnchor>
  <xdr:twoCellAnchor>
    <xdr:from>
      <xdr:col>1</xdr:col>
      <xdr:colOff>0</xdr:colOff>
      <xdr:row>3911</xdr:row>
      <xdr:rowOff>0</xdr:rowOff>
    </xdr:from>
    <xdr:to>
      <xdr:col>2609</xdr:col>
      <xdr:colOff>584200</xdr:colOff>
      <xdr:row>6552</xdr:row>
      <xdr:rowOff>76200</xdr:rowOff>
    </xdr:to>
    <xdr:sp macro="" textlink="">
      <xdr:nvSpPr>
        <xdr:cNvPr id="3081" name="Rectangle 53335">
          <a:extLst>
            <a:ext uri="{FF2B5EF4-FFF2-40B4-BE49-F238E27FC236}">
              <a16:creationId xmlns:a16="http://schemas.microsoft.com/office/drawing/2014/main" id="{5F82B73B-9DAD-F8C2-E3BD-E05FD8B2E18F}"/>
            </a:ext>
          </a:extLst>
        </xdr:cNvPr>
        <xdr:cNvSpPr>
          <a:spLocks noChangeArrowheads="1"/>
        </xdr:cNvSpPr>
      </xdr:nvSpPr>
      <xdr:spPr bwMode="auto">
        <a:xfrm rot="-5399999">
          <a:off x="807967650" y="463550"/>
          <a:ext cx="536727400" cy="215266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 </a:t>
          </a:r>
        </a:p>
      </xdr:txBody>
    </xdr:sp>
    <xdr:clientData/>
  </xdr:twoCellAnchor>
  <xdr:twoCellAnchor>
    <xdr:from>
      <xdr:col>15</xdr:col>
      <xdr:colOff>406400</xdr:colOff>
      <xdr:row>183</xdr:row>
      <xdr:rowOff>50800</xdr:rowOff>
    </xdr:from>
    <xdr:to>
      <xdr:col>43</xdr:col>
      <xdr:colOff>469900</xdr:colOff>
      <xdr:row>415</xdr:row>
      <xdr:rowOff>12700</xdr:rowOff>
    </xdr:to>
    <xdr:sp macro="" textlink="">
      <xdr:nvSpPr>
        <xdr:cNvPr id="3080" name="Rectangle 53811">
          <a:extLst>
            <a:ext uri="{FF2B5EF4-FFF2-40B4-BE49-F238E27FC236}">
              <a16:creationId xmlns:a16="http://schemas.microsoft.com/office/drawing/2014/main" id="{5AF88455-65D6-E777-E770-195FEBDDF675}"/>
            </a:ext>
          </a:extLst>
        </xdr:cNvPr>
        <xdr:cNvSpPr>
          <a:spLocks noChangeArrowheads="1"/>
        </xdr:cNvSpPr>
      </xdr:nvSpPr>
      <xdr:spPr bwMode="auto">
        <a:xfrm rot="-5399999">
          <a:off x="0" y="63741300"/>
          <a:ext cx="47104300" cy="21526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North</a:t>
          </a:r>
        </a:p>
      </xdr:txBody>
    </xdr:sp>
    <xdr:clientData/>
  </xdr:twoCellAnchor>
  <xdr:twoCellAnchor>
    <xdr:from>
      <xdr:col>1</xdr:col>
      <xdr:colOff>0</xdr:colOff>
      <xdr:row>209</xdr:row>
      <xdr:rowOff>25400</xdr:rowOff>
    </xdr:from>
    <xdr:to>
      <xdr:col>28</xdr:col>
      <xdr:colOff>63500</xdr:colOff>
      <xdr:row>240</xdr:row>
      <xdr:rowOff>152400</xdr:rowOff>
    </xdr:to>
    <xdr:sp macro="" textlink="">
      <xdr:nvSpPr>
        <xdr:cNvPr id="3079" name="Rectangle 53812">
          <a:extLst>
            <a:ext uri="{FF2B5EF4-FFF2-40B4-BE49-F238E27FC236}">
              <a16:creationId xmlns:a16="http://schemas.microsoft.com/office/drawing/2014/main" id="{C8F17076-2E7A-0342-569A-6F1630846BB4}"/>
            </a:ext>
          </a:extLst>
        </xdr:cNvPr>
        <xdr:cNvSpPr>
          <a:spLocks noChangeArrowheads="1"/>
        </xdr:cNvSpPr>
      </xdr:nvSpPr>
      <xdr:spPr bwMode="auto">
        <a:xfrm rot="-5399999">
          <a:off x="7550150" y="48660050"/>
          <a:ext cx="6426200" cy="21526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-</a:t>
          </a:r>
        </a:p>
      </xdr:txBody>
    </xdr:sp>
    <xdr:clientData/>
  </xdr:twoCellAnchor>
  <xdr:twoCellAnchor>
    <xdr:from>
      <xdr:col>3439</xdr:col>
      <xdr:colOff>800100</xdr:colOff>
      <xdr:row>0</xdr:row>
      <xdr:rowOff>0</xdr:rowOff>
    </xdr:from>
    <xdr:to>
      <xdr:col>6047</xdr:col>
      <xdr:colOff>558800</xdr:colOff>
      <xdr:row>38454</xdr:row>
      <xdr:rowOff>127000</xdr:rowOff>
    </xdr:to>
    <xdr:sp macro="" textlink="">
      <xdr:nvSpPr>
        <xdr:cNvPr id="3076" name="Rectangle 54421">
          <a:extLst>
            <a:ext uri="{FF2B5EF4-FFF2-40B4-BE49-F238E27FC236}">
              <a16:creationId xmlns:a16="http://schemas.microsoft.com/office/drawing/2014/main" id="{D98923E6-61B9-E65A-C497-182020AEE8EF}"/>
            </a:ext>
          </a:extLst>
        </xdr:cNvPr>
        <xdr:cNvSpPr>
          <a:spLocks noChangeArrowheads="1"/>
        </xdr:cNvSpPr>
      </xdr:nvSpPr>
      <xdr:spPr bwMode="auto">
        <a:xfrm rot="-5399999">
          <a:off x="527050" y="2837516550"/>
          <a:ext cx="7827695800" cy="215266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Southern</a:t>
          </a:r>
        </a:p>
      </xdr:txBody>
    </xdr:sp>
    <xdr:clientData/>
  </xdr:twoCellAnchor>
  <xdr:twoCellAnchor>
    <xdr:from>
      <xdr:col>1</xdr:col>
      <xdr:colOff>0</xdr:colOff>
      <xdr:row>3903</xdr:row>
      <xdr:rowOff>114300</xdr:rowOff>
    </xdr:from>
    <xdr:to>
      <xdr:col>2609</xdr:col>
      <xdr:colOff>584200</xdr:colOff>
      <xdr:row>6544</xdr:row>
      <xdr:rowOff>177800</xdr:rowOff>
    </xdr:to>
    <xdr:sp macro="" textlink="">
      <xdr:nvSpPr>
        <xdr:cNvPr id="3075" name="Rectangle 54422">
          <a:extLst>
            <a:ext uri="{FF2B5EF4-FFF2-40B4-BE49-F238E27FC236}">
              <a16:creationId xmlns:a16="http://schemas.microsoft.com/office/drawing/2014/main" id="{6E4FF542-3CE0-7B0E-B55F-EE6677C986A9}"/>
            </a:ext>
          </a:extLst>
        </xdr:cNvPr>
        <xdr:cNvSpPr>
          <a:spLocks noChangeArrowheads="1"/>
        </xdr:cNvSpPr>
      </xdr:nvSpPr>
      <xdr:spPr bwMode="auto">
        <a:xfrm rot="-5399999">
          <a:off x="807974000" y="-1054100"/>
          <a:ext cx="536714700" cy="215266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 </a:t>
          </a:r>
        </a:p>
      </xdr:txBody>
    </xdr:sp>
    <xdr:clientData/>
  </xdr:twoCellAnchor>
  <xdr:twoCellAnchor>
    <xdr:from>
      <xdr:col>570</xdr:col>
      <xdr:colOff>584200</xdr:colOff>
      <xdr:row>0</xdr:row>
      <xdr:rowOff>0</xdr:rowOff>
    </xdr:from>
    <xdr:to>
      <xdr:col>3178</xdr:col>
      <xdr:colOff>355600</xdr:colOff>
      <xdr:row>15140</xdr:row>
      <xdr:rowOff>190500</xdr:rowOff>
    </xdr:to>
    <xdr:sp macro="" textlink="">
      <xdr:nvSpPr>
        <xdr:cNvPr id="3074" name="Rectangle 54907">
          <a:extLst>
            <a:ext uri="{FF2B5EF4-FFF2-40B4-BE49-F238E27FC236}">
              <a16:creationId xmlns:a16="http://schemas.microsoft.com/office/drawing/2014/main" id="{31F88DFF-B7B6-58FD-B04C-035B74DF6788}"/>
            </a:ext>
          </a:extLst>
        </xdr:cNvPr>
        <xdr:cNvSpPr>
          <a:spLocks noChangeArrowheads="1"/>
        </xdr:cNvSpPr>
      </xdr:nvSpPr>
      <xdr:spPr bwMode="auto">
        <a:xfrm rot="-5399999">
          <a:off x="628650" y="468839550"/>
          <a:ext cx="3090354500" cy="215267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belt</a:t>
          </a:r>
        </a:p>
      </xdr:txBody>
    </xdr:sp>
    <xdr:clientData/>
  </xdr:twoCellAnchor>
  <xdr:twoCellAnchor>
    <xdr:from>
      <xdr:col>1</xdr:col>
      <xdr:colOff>0</xdr:colOff>
      <xdr:row>3902</xdr:row>
      <xdr:rowOff>127000</xdr:rowOff>
    </xdr:from>
    <xdr:to>
      <xdr:col>2609</xdr:col>
      <xdr:colOff>596900</xdr:colOff>
      <xdr:row>6544</xdr:row>
      <xdr:rowOff>0</xdr:rowOff>
    </xdr:to>
    <xdr:sp macro="" textlink="">
      <xdr:nvSpPr>
        <xdr:cNvPr id="3073" name="Rectangle 54908">
          <a:extLst>
            <a:ext uri="{FF2B5EF4-FFF2-40B4-BE49-F238E27FC236}">
              <a16:creationId xmlns:a16="http://schemas.microsoft.com/office/drawing/2014/main" id="{5BE15AF8-1926-5427-F4AE-1A2FF751B8FE}"/>
            </a:ext>
          </a:extLst>
        </xdr:cNvPr>
        <xdr:cNvSpPr>
          <a:spLocks noChangeArrowheads="1"/>
        </xdr:cNvSpPr>
      </xdr:nvSpPr>
      <xdr:spPr bwMode="auto">
        <a:xfrm rot="-5399999">
          <a:off x="807974000" y="-1244600"/>
          <a:ext cx="536727400" cy="215267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 </a:t>
          </a:r>
        </a:p>
      </xdr:txBody>
    </xdr:sp>
    <xdr:clientData/>
  </xdr:twoCellAnchor>
  <xdr:twoCellAnchor>
    <xdr:from>
      <xdr:col>2465</xdr:col>
      <xdr:colOff>723900</xdr:colOff>
      <xdr:row>0</xdr:row>
      <xdr:rowOff>0</xdr:rowOff>
    </xdr:from>
    <xdr:to>
      <xdr:col>5073</xdr:col>
      <xdr:colOff>482600</xdr:colOff>
      <xdr:row>30545</xdr:row>
      <xdr:rowOff>0</xdr:rowOff>
    </xdr:to>
    <xdr:sp macro="" textlink="">
      <xdr:nvSpPr>
        <xdr:cNvPr id="3114" name="Rectangle 56033">
          <a:extLst>
            <a:ext uri="{FF2B5EF4-FFF2-40B4-BE49-F238E27FC236}">
              <a16:creationId xmlns:a16="http://schemas.microsoft.com/office/drawing/2014/main" id="{1B28E38A-AACE-6A0D-3029-C567021ED41D}"/>
            </a:ext>
          </a:extLst>
        </xdr:cNvPr>
        <xdr:cNvSpPr>
          <a:spLocks noChangeArrowheads="1"/>
        </xdr:cNvSpPr>
      </xdr:nvSpPr>
      <xdr:spPr bwMode="auto">
        <a:xfrm rot="-5399999">
          <a:off x="-368300" y="2034298700"/>
          <a:ext cx="6221260100" cy="215266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Lusaka</a:t>
          </a:r>
        </a:p>
      </xdr:txBody>
    </xdr:sp>
    <xdr:clientData/>
  </xdr:twoCellAnchor>
  <xdr:twoCellAnchor>
    <xdr:from>
      <xdr:col>1</xdr:col>
      <xdr:colOff>0</xdr:colOff>
      <xdr:row>3908</xdr:row>
      <xdr:rowOff>88900</xdr:rowOff>
    </xdr:from>
    <xdr:to>
      <xdr:col>2609</xdr:col>
      <xdr:colOff>584200</xdr:colOff>
      <xdr:row>6549</xdr:row>
      <xdr:rowOff>165100</xdr:rowOff>
    </xdr:to>
    <xdr:sp macro="" textlink="">
      <xdr:nvSpPr>
        <xdr:cNvPr id="3113" name="Rectangle 56034">
          <a:extLst>
            <a:ext uri="{FF2B5EF4-FFF2-40B4-BE49-F238E27FC236}">
              <a16:creationId xmlns:a16="http://schemas.microsoft.com/office/drawing/2014/main" id="{47F80173-261C-7E58-A2AE-C4F71884A736}"/>
            </a:ext>
          </a:extLst>
        </xdr:cNvPr>
        <xdr:cNvSpPr>
          <a:spLocks noChangeArrowheads="1"/>
        </xdr:cNvSpPr>
      </xdr:nvSpPr>
      <xdr:spPr bwMode="auto">
        <a:xfrm rot="-5399999">
          <a:off x="807967650" y="742950"/>
          <a:ext cx="536727400" cy="215266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 </a:t>
          </a:r>
        </a:p>
      </xdr:txBody>
    </xdr:sp>
    <xdr:clientData/>
  </xdr:twoCellAnchor>
  <xdr:twoCellAnchor>
    <xdr:from>
      <xdr:col>2464</xdr:col>
      <xdr:colOff>584200</xdr:colOff>
      <xdr:row>0</xdr:row>
      <xdr:rowOff>0</xdr:rowOff>
    </xdr:from>
    <xdr:to>
      <xdr:col>5072</xdr:col>
      <xdr:colOff>342900</xdr:colOff>
      <xdr:row>30534</xdr:row>
      <xdr:rowOff>152400</xdr:rowOff>
    </xdr:to>
    <xdr:sp macro="" textlink="">
      <xdr:nvSpPr>
        <xdr:cNvPr id="3112" name="Rectangle 56222">
          <a:extLst>
            <a:ext uri="{FF2B5EF4-FFF2-40B4-BE49-F238E27FC236}">
              <a16:creationId xmlns:a16="http://schemas.microsoft.com/office/drawing/2014/main" id="{5DD4E17A-BA3E-1760-EAAC-4EFF2729597A}"/>
            </a:ext>
          </a:extLst>
        </xdr:cNvPr>
        <xdr:cNvSpPr>
          <a:spLocks noChangeArrowheads="1"/>
        </xdr:cNvSpPr>
      </xdr:nvSpPr>
      <xdr:spPr bwMode="auto">
        <a:xfrm rot="-5399999">
          <a:off x="-292100" y="2033257300"/>
          <a:ext cx="6219177300" cy="215266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Central</a:t>
          </a:r>
        </a:p>
      </xdr:txBody>
    </xdr:sp>
    <xdr:clientData/>
  </xdr:twoCellAnchor>
  <xdr:twoCellAnchor>
    <xdr:from>
      <xdr:col>1</xdr:col>
      <xdr:colOff>0</xdr:colOff>
      <xdr:row>3907</xdr:row>
      <xdr:rowOff>139700</xdr:rowOff>
    </xdr:from>
    <xdr:to>
      <xdr:col>2609</xdr:col>
      <xdr:colOff>584200</xdr:colOff>
      <xdr:row>6549</xdr:row>
      <xdr:rowOff>12700</xdr:rowOff>
    </xdr:to>
    <xdr:sp macro="" textlink="">
      <xdr:nvSpPr>
        <xdr:cNvPr id="3111" name="Rectangle 56223">
          <a:extLst>
            <a:ext uri="{FF2B5EF4-FFF2-40B4-BE49-F238E27FC236}">
              <a16:creationId xmlns:a16="http://schemas.microsoft.com/office/drawing/2014/main" id="{0CE54B15-BB53-CA3F-0DB2-1861E15DBCF6}"/>
            </a:ext>
          </a:extLst>
        </xdr:cNvPr>
        <xdr:cNvSpPr>
          <a:spLocks noChangeArrowheads="1"/>
        </xdr:cNvSpPr>
      </xdr:nvSpPr>
      <xdr:spPr bwMode="auto">
        <a:xfrm rot="-5399999">
          <a:off x="807967650" y="590550"/>
          <a:ext cx="536727400" cy="215266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 </a:t>
          </a:r>
        </a:p>
      </xdr:txBody>
    </xdr:sp>
    <xdr:clientData/>
  </xdr:twoCellAnchor>
  <xdr:twoCellAnchor>
    <xdr:from>
      <xdr:col>2855</xdr:col>
      <xdr:colOff>228600</xdr:colOff>
      <xdr:row>0</xdr:row>
      <xdr:rowOff>0</xdr:rowOff>
    </xdr:from>
    <xdr:to>
      <xdr:col>5462</xdr:col>
      <xdr:colOff>812800</xdr:colOff>
      <xdr:row>33706</xdr:row>
      <xdr:rowOff>114300</xdr:rowOff>
    </xdr:to>
    <xdr:sp macro="" textlink="">
      <xdr:nvSpPr>
        <xdr:cNvPr id="3110" name="Rectangle 56878">
          <a:extLst>
            <a:ext uri="{FF2B5EF4-FFF2-40B4-BE49-F238E27FC236}">
              <a16:creationId xmlns:a16="http://schemas.microsoft.com/office/drawing/2014/main" id="{FC86AC33-1979-461F-1B39-874ABF4F572E}"/>
            </a:ext>
          </a:extLst>
        </xdr:cNvPr>
        <xdr:cNvSpPr>
          <a:spLocks noChangeArrowheads="1"/>
        </xdr:cNvSpPr>
      </xdr:nvSpPr>
      <xdr:spPr bwMode="auto">
        <a:xfrm rot="-5399999">
          <a:off x="-133350" y="2355513450"/>
          <a:ext cx="6863689600" cy="215266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Luapula</a:t>
          </a:r>
        </a:p>
      </xdr:txBody>
    </xdr:sp>
    <xdr:clientData/>
  </xdr:twoCellAnchor>
  <xdr:twoCellAnchor>
    <xdr:from>
      <xdr:col>1</xdr:col>
      <xdr:colOff>0</xdr:colOff>
      <xdr:row>3906</xdr:row>
      <xdr:rowOff>12700</xdr:rowOff>
    </xdr:from>
    <xdr:to>
      <xdr:col>2609</xdr:col>
      <xdr:colOff>584200</xdr:colOff>
      <xdr:row>6547</xdr:row>
      <xdr:rowOff>76200</xdr:rowOff>
    </xdr:to>
    <xdr:sp macro="" textlink="">
      <xdr:nvSpPr>
        <xdr:cNvPr id="3109" name="Rectangle 56879">
          <a:extLst>
            <a:ext uri="{FF2B5EF4-FFF2-40B4-BE49-F238E27FC236}">
              <a16:creationId xmlns:a16="http://schemas.microsoft.com/office/drawing/2014/main" id="{56277DED-36BE-4889-A72E-2FE6464CBB2A}"/>
            </a:ext>
          </a:extLst>
        </xdr:cNvPr>
        <xdr:cNvSpPr>
          <a:spLocks noChangeArrowheads="1"/>
        </xdr:cNvSpPr>
      </xdr:nvSpPr>
      <xdr:spPr bwMode="auto">
        <a:xfrm rot="-5399999">
          <a:off x="807974000" y="254000"/>
          <a:ext cx="536714700" cy="215266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 </a:t>
          </a:r>
        </a:p>
      </xdr:txBody>
    </xdr:sp>
    <xdr:clientData/>
  </xdr:twoCellAnchor>
  <xdr:twoCellAnchor>
    <xdr:from>
      <xdr:col>3244</xdr:col>
      <xdr:colOff>558800</xdr:colOff>
      <xdr:row>0</xdr:row>
      <xdr:rowOff>0</xdr:rowOff>
    </xdr:from>
    <xdr:to>
      <xdr:col>5852</xdr:col>
      <xdr:colOff>317500</xdr:colOff>
      <xdr:row>36869</xdr:row>
      <xdr:rowOff>63500</xdr:rowOff>
    </xdr:to>
    <xdr:sp macro="" textlink="">
      <xdr:nvSpPr>
        <xdr:cNvPr id="3108" name="Rectangle 57885">
          <a:extLst>
            <a:ext uri="{FF2B5EF4-FFF2-40B4-BE49-F238E27FC236}">
              <a16:creationId xmlns:a16="http://schemas.microsoft.com/office/drawing/2014/main" id="{3DC70A2A-FC63-300A-205E-1F99D81B0706}"/>
            </a:ext>
          </a:extLst>
        </xdr:cNvPr>
        <xdr:cNvSpPr>
          <a:spLocks noChangeArrowheads="1"/>
        </xdr:cNvSpPr>
      </xdr:nvSpPr>
      <xdr:spPr bwMode="auto">
        <a:xfrm rot="-5399999">
          <a:off x="-19050" y="2676848850"/>
          <a:ext cx="7506360400" cy="215266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Northern</a:t>
          </a:r>
        </a:p>
      </xdr:txBody>
    </xdr:sp>
    <xdr:clientData/>
  </xdr:twoCellAnchor>
  <xdr:twoCellAnchor>
    <xdr:from>
      <xdr:col>1</xdr:col>
      <xdr:colOff>0</xdr:colOff>
      <xdr:row>3904</xdr:row>
      <xdr:rowOff>190500</xdr:rowOff>
    </xdr:from>
    <xdr:to>
      <xdr:col>2609</xdr:col>
      <xdr:colOff>584200</xdr:colOff>
      <xdr:row>6546</xdr:row>
      <xdr:rowOff>63500</xdr:rowOff>
    </xdr:to>
    <xdr:sp macro="" textlink="">
      <xdr:nvSpPr>
        <xdr:cNvPr id="3107" name="Rectangle 57886">
          <a:extLst>
            <a:ext uri="{FF2B5EF4-FFF2-40B4-BE49-F238E27FC236}">
              <a16:creationId xmlns:a16="http://schemas.microsoft.com/office/drawing/2014/main" id="{0CB6E17F-7F3B-938F-2B15-57F636C3C6B3}"/>
            </a:ext>
          </a:extLst>
        </xdr:cNvPr>
        <xdr:cNvSpPr>
          <a:spLocks noChangeArrowheads="1"/>
        </xdr:cNvSpPr>
      </xdr:nvSpPr>
      <xdr:spPr bwMode="auto">
        <a:xfrm rot="-5399999">
          <a:off x="807967650" y="31750"/>
          <a:ext cx="536727400" cy="215266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 </a:t>
          </a:r>
        </a:p>
      </xdr:txBody>
    </xdr:sp>
    <xdr:clientData/>
  </xdr:twoCellAnchor>
  <xdr:twoCellAnchor>
    <xdr:from>
      <xdr:col>2724</xdr:col>
      <xdr:colOff>254000</xdr:colOff>
      <xdr:row>0</xdr:row>
      <xdr:rowOff>0</xdr:rowOff>
    </xdr:from>
    <xdr:to>
      <xdr:col>5332</xdr:col>
      <xdr:colOff>12700</xdr:colOff>
      <xdr:row>32640</xdr:row>
      <xdr:rowOff>152400</xdr:rowOff>
    </xdr:to>
    <xdr:sp macro="" textlink="">
      <xdr:nvSpPr>
        <xdr:cNvPr id="3104" name="Rectangle 58871">
          <a:extLst>
            <a:ext uri="{FF2B5EF4-FFF2-40B4-BE49-F238E27FC236}">
              <a16:creationId xmlns:a16="http://schemas.microsoft.com/office/drawing/2014/main" id="{0D90B301-D3B5-D11D-C633-AC4A7403E7DA}"/>
            </a:ext>
          </a:extLst>
        </xdr:cNvPr>
        <xdr:cNvSpPr>
          <a:spLocks noChangeArrowheads="1"/>
        </xdr:cNvSpPr>
      </xdr:nvSpPr>
      <xdr:spPr bwMode="auto">
        <a:xfrm rot="-5399999">
          <a:off x="38100" y="2247226900"/>
          <a:ext cx="6647116500" cy="215266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Eastern</a:t>
          </a:r>
        </a:p>
      </xdr:txBody>
    </xdr:sp>
    <xdr:clientData/>
  </xdr:twoCellAnchor>
  <xdr:twoCellAnchor>
    <xdr:from>
      <xdr:col>1</xdr:col>
      <xdr:colOff>0</xdr:colOff>
      <xdr:row>3904</xdr:row>
      <xdr:rowOff>88900</xdr:rowOff>
    </xdr:from>
    <xdr:to>
      <xdr:col>2609</xdr:col>
      <xdr:colOff>584200</xdr:colOff>
      <xdr:row>6545</xdr:row>
      <xdr:rowOff>165100</xdr:rowOff>
    </xdr:to>
    <xdr:sp macro="" textlink="">
      <xdr:nvSpPr>
        <xdr:cNvPr id="3103" name="Rectangle 58872">
          <a:extLst>
            <a:ext uri="{FF2B5EF4-FFF2-40B4-BE49-F238E27FC236}">
              <a16:creationId xmlns:a16="http://schemas.microsoft.com/office/drawing/2014/main" id="{DD0B3311-977D-EFFA-0C8F-4C0BECFB4253}"/>
            </a:ext>
          </a:extLst>
        </xdr:cNvPr>
        <xdr:cNvSpPr>
          <a:spLocks noChangeArrowheads="1"/>
        </xdr:cNvSpPr>
      </xdr:nvSpPr>
      <xdr:spPr bwMode="auto">
        <a:xfrm rot="-5399999">
          <a:off x="807967650" y="-69850"/>
          <a:ext cx="536727400" cy="215266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 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5264360-2BAA-724C-9592-3822D64425CF}" autoFormatId="16" applyNumberFormats="0" applyBorderFormats="0" applyFontFormats="0" applyPatternFormats="0" applyAlignmentFormats="0" applyWidthHeightFormats="0">
  <queryTableRefresh nextId="5">
    <queryTableFields count="4">
      <queryTableField id="1" name="District " tableColumnId="1"/>
      <queryTableField id="2" name="Samples" tableColumnId="2"/>
      <queryTableField id="3" name="Attribute" tableColumnId="3"/>
      <queryTableField id="4" name="Valu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0A649B-D5A5-4A44-835A-3F85D8D61092}" name="Table__2" displayName="Table__2" ref="A1:D799" tableType="queryTable" totalsRowShown="0">
  <autoFilter ref="A1:D799" xr:uid="{CD0A649B-D5A5-4A44-835A-3F85D8D61092}"/>
  <tableColumns count="4">
    <tableColumn id="1" xr3:uid="{7C16170A-A9A4-E843-A305-72AB1DA6B504}" uniqueName="1" name="District " queryTableFieldId="1" dataDxfId="6"/>
    <tableColumn id="2" xr3:uid="{710945C1-B369-7B48-9FB8-FFA4C94CC043}" uniqueName="2" name="Tested" queryTableFieldId="2"/>
    <tableColumn id="3" xr3:uid="{FF105DC3-9DA2-2442-8563-930DA93A2B33}" uniqueName="3" name="Marker" queryTableFieldId="3" dataDxfId="5"/>
    <tableColumn id="4" xr3:uid="{4A631B3C-C311-494F-9569-30A1558642BB}" uniqueName="4" name="Present" queryTableField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74945-2BEB-3944-9A0E-E1F946FAA282}">
  <dimension ref="A1:R75"/>
  <sheetViews>
    <sheetView workbookViewId="0">
      <selection activeCell="Q2" sqref="Q2"/>
    </sheetView>
  </sheetViews>
  <sheetFormatPr baseColWidth="10" defaultRowHeight="16" x14ac:dyDescent="0.2"/>
  <sheetData>
    <row r="1" spans="1:18" x14ac:dyDescent="0.2">
      <c r="A1" s="1" t="s">
        <v>150</v>
      </c>
      <c r="B1" s="1" t="s">
        <v>151</v>
      </c>
      <c r="C1" s="1" t="s">
        <v>168</v>
      </c>
      <c r="D1" s="1" t="s">
        <v>152</v>
      </c>
      <c r="E1" s="1" t="s">
        <v>158</v>
      </c>
      <c r="F1" s="1" t="s">
        <v>160</v>
      </c>
      <c r="G1" s="1" t="s">
        <v>161</v>
      </c>
      <c r="H1" s="1" t="s">
        <v>153</v>
      </c>
      <c r="I1" s="1" t="s">
        <v>154</v>
      </c>
      <c r="J1" s="1" t="s">
        <v>155</v>
      </c>
      <c r="K1" s="1" t="s">
        <v>156</v>
      </c>
      <c r="L1" s="1" t="s">
        <v>157</v>
      </c>
      <c r="M1" s="1" t="s">
        <v>159</v>
      </c>
      <c r="N1" s="1" t="s">
        <v>162</v>
      </c>
      <c r="O1" s="1" t="s">
        <v>163</v>
      </c>
      <c r="P1" s="1" t="s">
        <v>164</v>
      </c>
      <c r="Q1" s="1" t="s">
        <v>165</v>
      </c>
      <c r="R1" s="1" t="s">
        <v>166</v>
      </c>
    </row>
    <row r="2" spans="1:18" x14ac:dyDescent="0.2">
      <c r="A2" t="s">
        <v>0</v>
      </c>
      <c r="B2" t="s">
        <v>1</v>
      </c>
      <c r="D2" t="s">
        <v>2</v>
      </c>
      <c r="E2" t="s">
        <v>12</v>
      </c>
      <c r="F2">
        <v>29</v>
      </c>
      <c r="G2">
        <v>71</v>
      </c>
      <c r="H2" t="s">
        <v>3</v>
      </c>
      <c r="I2" t="s">
        <v>4</v>
      </c>
      <c r="J2" t="s">
        <v>2</v>
      </c>
      <c r="K2">
        <v>2023</v>
      </c>
      <c r="L2">
        <v>2023</v>
      </c>
      <c r="M2" t="s">
        <v>13</v>
      </c>
      <c r="N2" t="s">
        <v>7</v>
      </c>
      <c r="O2">
        <v>0</v>
      </c>
      <c r="P2">
        <v>2025</v>
      </c>
      <c r="Q2" t="s">
        <v>8</v>
      </c>
      <c r="R2" t="s">
        <v>167</v>
      </c>
    </row>
    <row r="3" spans="1:18" x14ac:dyDescent="0.2">
      <c r="A3" t="s">
        <v>0</v>
      </c>
      <c r="B3" t="s">
        <v>1</v>
      </c>
      <c r="D3" t="s">
        <v>2</v>
      </c>
      <c r="E3" t="s">
        <v>5</v>
      </c>
      <c r="F3">
        <v>58</v>
      </c>
      <c r="G3">
        <v>42</v>
      </c>
      <c r="H3" t="s">
        <v>3</v>
      </c>
      <c r="I3" t="s">
        <v>4</v>
      </c>
      <c r="J3" t="s">
        <v>2</v>
      </c>
      <c r="K3">
        <v>2023</v>
      </c>
      <c r="L3">
        <v>2023</v>
      </c>
      <c r="M3" t="s">
        <v>6</v>
      </c>
      <c r="N3" t="s">
        <v>7</v>
      </c>
      <c r="O3">
        <v>0</v>
      </c>
      <c r="P3">
        <v>2025</v>
      </c>
      <c r="Q3" t="s">
        <v>8</v>
      </c>
      <c r="R3" t="s">
        <v>167</v>
      </c>
    </row>
    <row r="4" spans="1:18" x14ac:dyDescent="0.2">
      <c r="A4" t="s">
        <v>0</v>
      </c>
      <c r="B4" t="s">
        <v>1</v>
      </c>
      <c r="D4" t="s">
        <v>2</v>
      </c>
      <c r="E4" t="s">
        <v>9</v>
      </c>
      <c r="F4">
        <v>30</v>
      </c>
      <c r="G4">
        <v>70</v>
      </c>
      <c r="H4" t="s">
        <v>3</v>
      </c>
      <c r="I4" t="s">
        <v>4</v>
      </c>
      <c r="J4" t="s">
        <v>2</v>
      </c>
      <c r="K4">
        <v>2023</v>
      </c>
      <c r="L4">
        <v>2023</v>
      </c>
      <c r="M4" t="s">
        <v>10</v>
      </c>
      <c r="N4" t="s">
        <v>11</v>
      </c>
      <c r="O4">
        <v>0</v>
      </c>
      <c r="P4">
        <v>2025</v>
      </c>
      <c r="Q4" t="s">
        <v>8</v>
      </c>
      <c r="R4" t="s">
        <v>167</v>
      </c>
    </row>
    <row r="5" spans="1:18" x14ac:dyDescent="0.2">
      <c r="A5" t="s">
        <v>0</v>
      </c>
      <c r="B5" t="s">
        <v>1</v>
      </c>
      <c r="D5" t="s">
        <v>2</v>
      </c>
      <c r="E5" t="s">
        <v>14</v>
      </c>
      <c r="F5">
        <v>54</v>
      </c>
      <c r="G5">
        <v>46</v>
      </c>
      <c r="H5" t="s">
        <v>3</v>
      </c>
      <c r="I5" t="s">
        <v>4</v>
      </c>
      <c r="J5" t="s">
        <v>2</v>
      </c>
      <c r="K5">
        <v>2023</v>
      </c>
      <c r="L5">
        <v>2023</v>
      </c>
      <c r="M5" t="s">
        <v>15</v>
      </c>
      <c r="N5" t="s">
        <v>16</v>
      </c>
      <c r="O5">
        <v>0</v>
      </c>
      <c r="P5">
        <v>2025</v>
      </c>
      <c r="Q5" t="s">
        <v>8</v>
      </c>
      <c r="R5" t="s">
        <v>167</v>
      </c>
    </row>
    <row r="6" spans="1:18" x14ac:dyDescent="0.2">
      <c r="A6" t="s">
        <v>0</v>
      </c>
      <c r="B6" t="s">
        <v>1</v>
      </c>
      <c r="D6" t="s">
        <v>2</v>
      </c>
      <c r="E6" t="s">
        <v>17</v>
      </c>
      <c r="F6">
        <v>59</v>
      </c>
      <c r="G6">
        <v>41</v>
      </c>
      <c r="H6" t="s">
        <v>3</v>
      </c>
      <c r="I6" t="s">
        <v>4</v>
      </c>
      <c r="J6" t="s">
        <v>2</v>
      </c>
      <c r="K6">
        <v>2023</v>
      </c>
      <c r="L6">
        <v>2023</v>
      </c>
      <c r="M6" t="s">
        <v>15</v>
      </c>
      <c r="N6" t="s">
        <v>18</v>
      </c>
      <c r="O6">
        <v>0</v>
      </c>
      <c r="P6">
        <v>2025</v>
      </c>
      <c r="Q6" t="s">
        <v>8</v>
      </c>
      <c r="R6" t="s">
        <v>167</v>
      </c>
    </row>
    <row r="7" spans="1:18" x14ac:dyDescent="0.2">
      <c r="A7" t="s">
        <v>0</v>
      </c>
      <c r="B7" t="s">
        <v>1</v>
      </c>
      <c r="D7" t="s">
        <v>2</v>
      </c>
      <c r="E7" t="s">
        <v>19</v>
      </c>
      <c r="F7" t="s">
        <v>21</v>
      </c>
      <c r="G7" t="s">
        <v>22</v>
      </c>
      <c r="H7" t="s">
        <v>3</v>
      </c>
      <c r="I7" t="s">
        <v>4</v>
      </c>
      <c r="J7" t="s">
        <v>2</v>
      </c>
      <c r="K7">
        <v>2023</v>
      </c>
      <c r="L7">
        <v>2023</v>
      </c>
      <c r="M7" t="s">
        <v>20</v>
      </c>
      <c r="N7" t="s">
        <v>22</v>
      </c>
      <c r="O7">
        <v>0</v>
      </c>
      <c r="P7">
        <v>2025</v>
      </c>
      <c r="Q7" t="s">
        <v>8</v>
      </c>
      <c r="R7" t="s">
        <v>167</v>
      </c>
    </row>
    <row r="8" spans="1:18" x14ac:dyDescent="0.2">
      <c r="A8" t="s">
        <v>0</v>
      </c>
      <c r="B8" t="s">
        <v>1</v>
      </c>
      <c r="D8" t="s">
        <v>23</v>
      </c>
      <c r="E8" t="s">
        <v>12</v>
      </c>
      <c r="F8">
        <v>27</v>
      </c>
      <c r="G8">
        <v>73</v>
      </c>
      <c r="H8" t="s">
        <v>24</v>
      </c>
      <c r="I8" t="s">
        <v>25</v>
      </c>
      <c r="J8" t="s">
        <v>23</v>
      </c>
      <c r="K8">
        <v>2023</v>
      </c>
      <c r="L8">
        <v>2023</v>
      </c>
      <c r="M8" t="s">
        <v>13</v>
      </c>
      <c r="N8" t="s">
        <v>27</v>
      </c>
      <c r="O8">
        <v>0</v>
      </c>
      <c r="P8">
        <v>2025</v>
      </c>
      <c r="Q8" t="s">
        <v>8</v>
      </c>
      <c r="R8" t="s">
        <v>167</v>
      </c>
    </row>
    <row r="9" spans="1:18" x14ac:dyDescent="0.2">
      <c r="A9" t="s">
        <v>0</v>
      </c>
      <c r="B9" t="s">
        <v>1</v>
      </c>
      <c r="D9" t="s">
        <v>23</v>
      </c>
      <c r="E9" t="s">
        <v>9</v>
      </c>
      <c r="F9">
        <v>76</v>
      </c>
      <c r="G9">
        <v>24</v>
      </c>
      <c r="H9" t="s">
        <v>24</v>
      </c>
      <c r="I9" t="s">
        <v>25</v>
      </c>
      <c r="J9" t="s">
        <v>23</v>
      </c>
      <c r="K9">
        <v>2023</v>
      </c>
      <c r="L9">
        <v>2023</v>
      </c>
      <c r="M9" t="s">
        <v>10</v>
      </c>
      <c r="N9" t="s">
        <v>26</v>
      </c>
      <c r="O9">
        <v>0</v>
      </c>
      <c r="P9">
        <v>2025</v>
      </c>
      <c r="Q9" t="s">
        <v>8</v>
      </c>
      <c r="R9" t="s">
        <v>167</v>
      </c>
    </row>
    <row r="10" spans="1:18" x14ac:dyDescent="0.2">
      <c r="A10" t="s">
        <v>0</v>
      </c>
      <c r="B10" t="s">
        <v>1</v>
      </c>
      <c r="D10" t="s">
        <v>23</v>
      </c>
      <c r="E10" t="s">
        <v>19</v>
      </c>
      <c r="F10" t="s">
        <v>28</v>
      </c>
      <c r="G10" t="s">
        <v>29</v>
      </c>
      <c r="H10" t="s">
        <v>24</v>
      </c>
      <c r="I10" t="s">
        <v>25</v>
      </c>
      <c r="J10" t="s">
        <v>23</v>
      </c>
      <c r="K10">
        <v>2023</v>
      </c>
      <c r="L10">
        <v>2023</v>
      </c>
      <c r="M10" t="s">
        <v>20</v>
      </c>
      <c r="N10" t="s">
        <v>30</v>
      </c>
      <c r="O10">
        <v>0</v>
      </c>
      <c r="P10">
        <v>2025</v>
      </c>
      <c r="Q10" t="s">
        <v>8</v>
      </c>
      <c r="R10" t="s">
        <v>167</v>
      </c>
    </row>
    <row r="11" spans="1:18" x14ac:dyDescent="0.2">
      <c r="A11" t="s">
        <v>0</v>
      </c>
      <c r="B11" t="s">
        <v>1</v>
      </c>
      <c r="D11" t="s">
        <v>31</v>
      </c>
      <c r="E11" t="s">
        <v>5</v>
      </c>
      <c r="F11">
        <v>25</v>
      </c>
      <c r="G11">
        <v>75</v>
      </c>
      <c r="H11" t="s">
        <v>32</v>
      </c>
      <c r="I11" t="s">
        <v>33</v>
      </c>
      <c r="J11" t="s">
        <v>31</v>
      </c>
      <c r="K11">
        <v>2023</v>
      </c>
      <c r="L11">
        <v>2023</v>
      </c>
      <c r="M11" t="s">
        <v>6</v>
      </c>
      <c r="N11" t="s">
        <v>34</v>
      </c>
      <c r="O11">
        <v>0</v>
      </c>
      <c r="P11">
        <v>2025</v>
      </c>
      <c r="Q11" t="s">
        <v>8</v>
      </c>
      <c r="R11" t="s">
        <v>167</v>
      </c>
    </row>
    <row r="12" spans="1:18" x14ac:dyDescent="0.2">
      <c r="A12" t="s">
        <v>0</v>
      </c>
      <c r="B12" t="s">
        <v>1</v>
      </c>
      <c r="D12" t="s">
        <v>31</v>
      </c>
      <c r="E12" t="s">
        <v>19</v>
      </c>
      <c r="F12">
        <v>75</v>
      </c>
      <c r="G12">
        <v>25</v>
      </c>
      <c r="H12" t="s">
        <v>32</v>
      </c>
      <c r="I12" t="s">
        <v>33</v>
      </c>
      <c r="J12" t="s">
        <v>31</v>
      </c>
      <c r="K12">
        <v>2023</v>
      </c>
      <c r="L12">
        <v>2023</v>
      </c>
      <c r="M12" t="s">
        <v>20</v>
      </c>
      <c r="N12" t="s">
        <v>35</v>
      </c>
      <c r="O12">
        <v>0</v>
      </c>
      <c r="P12">
        <v>2025</v>
      </c>
      <c r="Q12" t="s">
        <v>8</v>
      </c>
      <c r="R12" t="s">
        <v>167</v>
      </c>
    </row>
    <row r="13" spans="1:18" x14ac:dyDescent="0.2">
      <c r="A13" t="s">
        <v>0</v>
      </c>
      <c r="B13" t="s">
        <v>1</v>
      </c>
      <c r="D13" t="s">
        <v>36</v>
      </c>
      <c r="E13" t="s">
        <v>5</v>
      </c>
      <c r="F13">
        <v>25</v>
      </c>
      <c r="G13">
        <v>75</v>
      </c>
      <c r="H13" t="s">
        <v>37</v>
      </c>
      <c r="I13" t="s">
        <v>38</v>
      </c>
      <c r="J13" t="s">
        <v>36</v>
      </c>
      <c r="K13">
        <v>2023</v>
      </c>
      <c r="L13">
        <v>2023</v>
      </c>
      <c r="M13" t="s">
        <v>6</v>
      </c>
      <c r="N13" t="s">
        <v>34</v>
      </c>
      <c r="O13">
        <v>0</v>
      </c>
      <c r="P13">
        <v>2025</v>
      </c>
      <c r="Q13" t="s">
        <v>8</v>
      </c>
      <c r="R13" t="s">
        <v>167</v>
      </c>
    </row>
    <row r="14" spans="1:18" x14ac:dyDescent="0.2">
      <c r="A14" t="s">
        <v>0</v>
      </c>
      <c r="B14" t="s">
        <v>1</v>
      </c>
      <c r="D14" t="s">
        <v>36</v>
      </c>
      <c r="E14" t="s">
        <v>39</v>
      </c>
      <c r="F14">
        <v>25</v>
      </c>
      <c r="G14">
        <v>75</v>
      </c>
      <c r="H14" t="s">
        <v>37</v>
      </c>
      <c r="I14" t="s">
        <v>38</v>
      </c>
      <c r="J14" t="s">
        <v>36</v>
      </c>
      <c r="K14">
        <v>2023</v>
      </c>
      <c r="L14">
        <v>2023</v>
      </c>
      <c r="M14" t="s">
        <v>15</v>
      </c>
      <c r="N14" t="s">
        <v>34</v>
      </c>
      <c r="O14">
        <v>0</v>
      </c>
      <c r="P14">
        <v>2025</v>
      </c>
      <c r="Q14" t="s">
        <v>8</v>
      </c>
      <c r="R14" t="s">
        <v>167</v>
      </c>
    </row>
    <row r="15" spans="1:18" x14ac:dyDescent="0.2">
      <c r="A15" t="s">
        <v>0</v>
      </c>
      <c r="B15" t="s">
        <v>1</v>
      </c>
      <c r="D15" t="s">
        <v>36</v>
      </c>
      <c r="E15" t="s">
        <v>14</v>
      </c>
      <c r="F15">
        <v>21</v>
      </c>
      <c r="G15">
        <v>79</v>
      </c>
      <c r="H15" t="s">
        <v>37</v>
      </c>
      <c r="I15" t="s">
        <v>38</v>
      </c>
      <c r="J15" t="s">
        <v>36</v>
      </c>
      <c r="K15">
        <v>2023</v>
      </c>
      <c r="L15">
        <v>2023</v>
      </c>
      <c r="M15" t="s">
        <v>15</v>
      </c>
      <c r="N15" t="s">
        <v>40</v>
      </c>
      <c r="O15">
        <v>0</v>
      </c>
      <c r="P15">
        <v>2025</v>
      </c>
      <c r="Q15" t="s">
        <v>8</v>
      </c>
      <c r="R15" t="s">
        <v>167</v>
      </c>
    </row>
    <row r="16" spans="1:18" x14ac:dyDescent="0.2">
      <c r="A16" t="s">
        <v>0</v>
      </c>
      <c r="B16" t="s">
        <v>1</v>
      </c>
      <c r="D16" t="s">
        <v>36</v>
      </c>
      <c r="E16" t="s">
        <v>17</v>
      </c>
      <c r="F16">
        <v>26</v>
      </c>
      <c r="G16">
        <v>74</v>
      </c>
      <c r="H16" t="s">
        <v>37</v>
      </c>
      <c r="I16" t="s">
        <v>38</v>
      </c>
      <c r="J16" t="s">
        <v>36</v>
      </c>
      <c r="K16">
        <v>2023</v>
      </c>
      <c r="L16">
        <v>2023</v>
      </c>
      <c r="M16" t="s">
        <v>15</v>
      </c>
      <c r="N16" t="s">
        <v>41</v>
      </c>
      <c r="O16">
        <v>0</v>
      </c>
      <c r="P16">
        <v>2025</v>
      </c>
      <c r="Q16" t="s">
        <v>8</v>
      </c>
      <c r="R16" t="s">
        <v>167</v>
      </c>
    </row>
    <row r="17" spans="1:18" x14ac:dyDescent="0.2">
      <c r="A17" t="s">
        <v>0</v>
      </c>
      <c r="B17" t="s">
        <v>1</v>
      </c>
      <c r="D17" t="s">
        <v>36</v>
      </c>
      <c r="E17" t="s">
        <v>19</v>
      </c>
      <c r="F17" t="s">
        <v>42</v>
      </c>
      <c r="G17" t="s">
        <v>43</v>
      </c>
      <c r="H17" t="s">
        <v>37</v>
      </c>
      <c r="I17" t="s">
        <v>38</v>
      </c>
      <c r="J17" t="s">
        <v>36</v>
      </c>
      <c r="K17">
        <v>2023</v>
      </c>
      <c r="L17">
        <v>2023</v>
      </c>
      <c r="M17" t="s">
        <v>20</v>
      </c>
      <c r="N17" t="s">
        <v>43</v>
      </c>
      <c r="O17">
        <v>0</v>
      </c>
      <c r="P17">
        <v>2025</v>
      </c>
      <c r="Q17" t="s">
        <v>8</v>
      </c>
      <c r="R17" t="s">
        <v>167</v>
      </c>
    </row>
    <row r="18" spans="1:18" x14ac:dyDescent="0.2">
      <c r="A18" t="s">
        <v>0</v>
      </c>
      <c r="B18" t="s">
        <v>1</v>
      </c>
      <c r="D18" t="s">
        <v>44</v>
      </c>
      <c r="E18" t="s">
        <v>9</v>
      </c>
      <c r="F18">
        <v>28</v>
      </c>
      <c r="G18">
        <v>72</v>
      </c>
      <c r="H18" t="s">
        <v>45</v>
      </c>
      <c r="I18" t="s">
        <v>46</v>
      </c>
      <c r="J18" t="s">
        <v>44</v>
      </c>
      <c r="K18">
        <v>2023</v>
      </c>
      <c r="L18">
        <v>2023</v>
      </c>
      <c r="M18" t="s">
        <v>10</v>
      </c>
      <c r="N18" t="s">
        <v>48</v>
      </c>
      <c r="O18">
        <v>0</v>
      </c>
      <c r="P18">
        <v>2025</v>
      </c>
      <c r="Q18" t="s">
        <v>8</v>
      </c>
      <c r="R18" t="s">
        <v>167</v>
      </c>
    </row>
    <row r="19" spans="1:18" x14ac:dyDescent="0.2">
      <c r="A19" t="s">
        <v>0</v>
      </c>
      <c r="B19" t="s">
        <v>1</v>
      </c>
      <c r="D19" t="s">
        <v>44</v>
      </c>
      <c r="E19" t="s">
        <v>39</v>
      </c>
      <c r="F19">
        <v>80</v>
      </c>
      <c r="G19">
        <v>20</v>
      </c>
      <c r="H19" t="s">
        <v>45</v>
      </c>
      <c r="I19" t="s">
        <v>46</v>
      </c>
      <c r="J19" t="s">
        <v>44</v>
      </c>
      <c r="K19">
        <v>2023</v>
      </c>
      <c r="L19">
        <v>2023</v>
      </c>
      <c r="M19" t="s">
        <v>15</v>
      </c>
      <c r="N19" t="s">
        <v>47</v>
      </c>
      <c r="O19">
        <v>0</v>
      </c>
      <c r="P19">
        <v>2025</v>
      </c>
      <c r="Q19" t="s">
        <v>8</v>
      </c>
      <c r="R19" t="s">
        <v>167</v>
      </c>
    </row>
    <row r="20" spans="1:18" x14ac:dyDescent="0.2">
      <c r="A20" t="s">
        <v>0</v>
      </c>
      <c r="B20" t="s">
        <v>1</v>
      </c>
      <c r="D20" t="s">
        <v>44</v>
      </c>
      <c r="E20" t="s">
        <v>14</v>
      </c>
      <c r="F20">
        <v>80</v>
      </c>
      <c r="G20">
        <v>20</v>
      </c>
      <c r="H20" t="s">
        <v>45</v>
      </c>
      <c r="I20" t="s">
        <v>46</v>
      </c>
      <c r="J20" t="s">
        <v>44</v>
      </c>
      <c r="K20">
        <v>2023</v>
      </c>
      <c r="L20">
        <v>2023</v>
      </c>
      <c r="M20" t="s">
        <v>15</v>
      </c>
      <c r="N20" t="s">
        <v>49</v>
      </c>
      <c r="O20">
        <v>0</v>
      </c>
      <c r="P20">
        <v>2025</v>
      </c>
      <c r="Q20" t="s">
        <v>8</v>
      </c>
      <c r="R20" t="s">
        <v>167</v>
      </c>
    </row>
    <row r="21" spans="1:18" x14ac:dyDescent="0.2">
      <c r="A21" t="s">
        <v>0</v>
      </c>
      <c r="B21" t="s">
        <v>1</v>
      </c>
      <c r="D21" t="s">
        <v>44</v>
      </c>
      <c r="E21" t="s">
        <v>17</v>
      </c>
      <c r="F21">
        <v>80</v>
      </c>
      <c r="G21">
        <v>20</v>
      </c>
      <c r="H21" t="s">
        <v>45</v>
      </c>
      <c r="I21" t="s">
        <v>46</v>
      </c>
      <c r="J21" t="s">
        <v>44</v>
      </c>
      <c r="K21">
        <v>2023</v>
      </c>
      <c r="L21">
        <v>2023</v>
      </c>
      <c r="M21" t="s">
        <v>15</v>
      </c>
      <c r="N21" t="s">
        <v>50</v>
      </c>
      <c r="O21">
        <v>0</v>
      </c>
      <c r="P21">
        <v>2025</v>
      </c>
      <c r="Q21" t="s">
        <v>8</v>
      </c>
      <c r="R21" t="s">
        <v>167</v>
      </c>
    </row>
    <row r="22" spans="1:18" x14ac:dyDescent="0.2">
      <c r="A22" t="s">
        <v>0</v>
      </c>
      <c r="B22" t="s">
        <v>1</v>
      </c>
      <c r="D22" t="s">
        <v>44</v>
      </c>
      <c r="E22" t="s">
        <v>51</v>
      </c>
      <c r="F22">
        <v>22</v>
      </c>
      <c r="G22">
        <v>78</v>
      </c>
      <c r="H22" t="s">
        <v>45</v>
      </c>
      <c r="I22" t="s">
        <v>46</v>
      </c>
      <c r="J22" t="s">
        <v>44</v>
      </c>
      <c r="K22">
        <v>2023</v>
      </c>
      <c r="L22">
        <v>2023</v>
      </c>
      <c r="M22" t="s">
        <v>15</v>
      </c>
      <c r="N22" t="s">
        <v>52</v>
      </c>
      <c r="O22">
        <v>0</v>
      </c>
      <c r="P22">
        <v>2025</v>
      </c>
      <c r="Q22" t="s">
        <v>8</v>
      </c>
      <c r="R22" t="s">
        <v>167</v>
      </c>
    </row>
    <row r="23" spans="1:18" x14ac:dyDescent="0.2">
      <c r="A23" t="s">
        <v>0</v>
      </c>
      <c r="B23" t="s">
        <v>1</v>
      </c>
      <c r="D23" t="s">
        <v>44</v>
      </c>
      <c r="E23" t="s">
        <v>19</v>
      </c>
      <c r="F23" t="s">
        <v>53</v>
      </c>
      <c r="G23" t="s">
        <v>54</v>
      </c>
      <c r="H23" t="s">
        <v>45</v>
      </c>
      <c r="I23" t="s">
        <v>46</v>
      </c>
      <c r="J23" t="s">
        <v>44</v>
      </c>
      <c r="K23">
        <v>2023</v>
      </c>
      <c r="L23">
        <v>2023</v>
      </c>
      <c r="M23" t="s">
        <v>20</v>
      </c>
      <c r="N23" t="s">
        <v>55</v>
      </c>
      <c r="O23">
        <v>0</v>
      </c>
      <c r="P23">
        <v>2025</v>
      </c>
      <c r="Q23" t="s">
        <v>8</v>
      </c>
      <c r="R23" t="s">
        <v>167</v>
      </c>
    </row>
    <row r="24" spans="1:18" x14ac:dyDescent="0.2">
      <c r="A24" t="s">
        <v>0</v>
      </c>
      <c r="B24" t="s">
        <v>1</v>
      </c>
      <c r="D24" t="s">
        <v>56</v>
      </c>
      <c r="E24" t="s">
        <v>12</v>
      </c>
      <c r="F24">
        <v>73</v>
      </c>
      <c r="G24">
        <v>27</v>
      </c>
      <c r="H24" t="s">
        <v>57</v>
      </c>
      <c r="I24" t="s">
        <v>58</v>
      </c>
      <c r="J24" t="s">
        <v>56</v>
      </c>
      <c r="K24">
        <v>2023</v>
      </c>
      <c r="L24">
        <v>2023</v>
      </c>
      <c r="M24" t="s">
        <v>13</v>
      </c>
      <c r="N24" t="s">
        <v>60</v>
      </c>
      <c r="O24">
        <v>0</v>
      </c>
      <c r="P24">
        <v>2025</v>
      </c>
      <c r="Q24" t="s">
        <v>8</v>
      </c>
      <c r="R24" t="s">
        <v>167</v>
      </c>
    </row>
    <row r="25" spans="1:18" x14ac:dyDescent="0.2">
      <c r="A25" t="s">
        <v>0</v>
      </c>
      <c r="B25" t="s">
        <v>1</v>
      </c>
      <c r="D25" t="s">
        <v>56</v>
      </c>
      <c r="E25" t="s">
        <v>5</v>
      </c>
      <c r="F25">
        <v>24</v>
      </c>
      <c r="G25">
        <v>76</v>
      </c>
      <c r="H25" t="s">
        <v>57</v>
      </c>
      <c r="I25" t="s">
        <v>58</v>
      </c>
      <c r="J25" t="s">
        <v>56</v>
      </c>
      <c r="K25">
        <v>2023</v>
      </c>
      <c r="L25">
        <v>2023</v>
      </c>
      <c r="M25" t="s">
        <v>6</v>
      </c>
      <c r="N25" t="s">
        <v>59</v>
      </c>
      <c r="O25">
        <v>0</v>
      </c>
      <c r="P25">
        <v>2025</v>
      </c>
      <c r="Q25" t="s">
        <v>8</v>
      </c>
      <c r="R25" t="s">
        <v>167</v>
      </c>
    </row>
    <row r="26" spans="1:18" x14ac:dyDescent="0.2">
      <c r="A26" t="s">
        <v>0</v>
      </c>
      <c r="B26" t="s">
        <v>1</v>
      </c>
      <c r="D26" t="s">
        <v>56</v>
      </c>
      <c r="E26" t="s">
        <v>19</v>
      </c>
      <c r="F26" t="s">
        <v>61</v>
      </c>
      <c r="G26" t="s">
        <v>62</v>
      </c>
      <c r="H26" t="s">
        <v>57</v>
      </c>
      <c r="I26" t="s">
        <v>58</v>
      </c>
      <c r="J26" t="s">
        <v>56</v>
      </c>
      <c r="K26">
        <v>2023</v>
      </c>
      <c r="L26">
        <v>2023</v>
      </c>
      <c r="M26" t="s">
        <v>20</v>
      </c>
      <c r="N26" t="s">
        <v>62</v>
      </c>
      <c r="O26">
        <v>0</v>
      </c>
      <c r="P26">
        <v>2025</v>
      </c>
      <c r="Q26" t="s">
        <v>8</v>
      </c>
      <c r="R26" t="s">
        <v>167</v>
      </c>
    </row>
    <row r="27" spans="1:18" x14ac:dyDescent="0.2">
      <c r="A27" t="s">
        <v>0</v>
      </c>
      <c r="B27" t="s">
        <v>1</v>
      </c>
      <c r="D27" t="s">
        <v>63</v>
      </c>
      <c r="E27" t="s">
        <v>5</v>
      </c>
      <c r="F27">
        <v>29</v>
      </c>
      <c r="G27">
        <v>71</v>
      </c>
      <c r="H27" t="s">
        <v>64</v>
      </c>
      <c r="I27" t="s">
        <v>65</v>
      </c>
      <c r="J27" t="s">
        <v>63</v>
      </c>
      <c r="K27">
        <v>2023</v>
      </c>
      <c r="L27">
        <v>2023</v>
      </c>
      <c r="M27" t="s">
        <v>6</v>
      </c>
      <c r="N27" t="s">
        <v>66</v>
      </c>
      <c r="O27">
        <v>0</v>
      </c>
      <c r="P27">
        <v>2025</v>
      </c>
      <c r="Q27" t="s">
        <v>8</v>
      </c>
      <c r="R27" t="s">
        <v>167</v>
      </c>
    </row>
    <row r="28" spans="1:18" x14ac:dyDescent="0.2">
      <c r="A28" t="s">
        <v>0</v>
      </c>
      <c r="B28" t="s">
        <v>1</v>
      </c>
      <c r="D28" t="s">
        <v>63</v>
      </c>
      <c r="E28" t="s">
        <v>9</v>
      </c>
      <c r="F28">
        <v>29</v>
      </c>
      <c r="G28">
        <v>71</v>
      </c>
      <c r="H28" t="s">
        <v>67</v>
      </c>
      <c r="I28" t="s">
        <v>68</v>
      </c>
      <c r="J28" t="s">
        <v>63</v>
      </c>
      <c r="K28">
        <v>2023</v>
      </c>
      <c r="L28">
        <v>2023</v>
      </c>
      <c r="M28" t="s">
        <v>10</v>
      </c>
      <c r="N28" t="s">
        <v>7</v>
      </c>
      <c r="O28">
        <v>0</v>
      </c>
      <c r="P28">
        <v>2025</v>
      </c>
      <c r="Q28" t="s">
        <v>8</v>
      </c>
      <c r="R28" t="s">
        <v>167</v>
      </c>
    </row>
    <row r="29" spans="1:18" x14ac:dyDescent="0.2">
      <c r="A29" t="s">
        <v>0</v>
      </c>
      <c r="B29" t="s">
        <v>1</v>
      </c>
      <c r="D29" t="s">
        <v>63</v>
      </c>
      <c r="E29" t="s">
        <v>19</v>
      </c>
      <c r="F29" t="s">
        <v>69</v>
      </c>
      <c r="G29" t="s">
        <v>70</v>
      </c>
      <c r="H29" t="s">
        <v>67</v>
      </c>
      <c r="I29" t="s">
        <v>68</v>
      </c>
      <c r="J29" t="s">
        <v>63</v>
      </c>
      <c r="K29">
        <v>2023</v>
      </c>
      <c r="L29">
        <v>2023</v>
      </c>
      <c r="M29" t="s">
        <v>20</v>
      </c>
      <c r="N29" t="s">
        <v>70</v>
      </c>
      <c r="O29">
        <v>0</v>
      </c>
      <c r="P29">
        <v>2025</v>
      </c>
      <c r="Q29" t="s">
        <v>8</v>
      </c>
      <c r="R29" t="s">
        <v>167</v>
      </c>
    </row>
    <row r="30" spans="1:18" x14ac:dyDescent="0.2">
      <c r="A30" t="s">
        <v>0</v>
      </c>
      <c r="B30" t="s">
        <v>1</v>
      </c>
      <c r="D30" t="s">
        <v>71</v>
      </c>
      <c r="E30" t="s">
        <v>9</v>
      </c>
      <c r="F30">
        <v>80</v>
      </c>
      <c r="G30">
        <v>20</v>
      </c>
      <c r="H30" t="s">
        <v>72</v>
      </c>
      <c r="I30" t="s">
        <v>73</v>
      </c>
      <c r="J30" t="s">
        <v>71</v>
      </c>
      <c r="K30">
        <v>2023</v>
      </c>
      <c r="L30">
        <v>2023</v>
      </c>
      <c r="M30" t="s">
        <v>10</v>
      </c>
      <c r="N30" t="s">
        <v>74</v>
      </c>
      <c r="O30">
        <v>0</v>
      </c>
      <c r="P30">
        <v>2025</v>
      </c>
      <c r="Q30" t="s">
        <v>8</v>
      </c>
      <c r="R30" t="s">
        <v>167</v>
      </c>
    </row>
    <row r="31" spans="1:18" x14ac:dyDescent="0.2">
      <c r="A31" t="s">
        <v>0</v>
      </c>
      <c r="B31" t="s">
        <v>1</v>
      </c>
      <c r="D31" t="s">
        <v>71</v>
      </c>
      <c r="E31" t="s">
        <v>19</v>
      </c>
      <c r="F31" t="s">
        <v>74</v>
      </c>
      <c r="G31" t="s">
        <v>75</v>
      </c>
      <c r="H31" t="s">
        <v>72</v>
      </c>
      <c r="I31" t="s">
        <v>73</v>
      </c>
      <c r="J31" t="s">
        <v>71</v>
      </c>
      <c r="K31">
        <v>2023</v>
      </c>
      <c r="L31">
        <v>2023</v>
      </c>
      <c r="M31" t="s">
        <v>20</v>
      </c>
      <c r="N31" t="s">
        <v>75</v>
      </c>
      <c r="O31">
        <v>0</v>
      </c>
      <c r="P31">
        <v>2025</v>
      </c>
      <c r="Q31" t="s">
        <v>8</v>
      </c>
      <c r="R31" t="s">
        <v>167</v>
      </c>
    </row>
    <row r="32" spans="1:18" x14ac:dyDescent="0.2">
      <c r="A32" t="s">
        <v>0</v>
      </c>
      <c r="B32" t="s">
        <v>1</v>
      </c>
      <c r="D32" t="s">
        <v>76</v>
      </c>
      <c r="E32" t="s">
        <v>12</v>
      </c>
      <c r="F32">
        <v>16</v>
      </c>
      <c r="G32">
        <v>84</v>
      </c>
      <c r="H32" t="s">
        <v>77</v>
      </c>
      <c r="I32" t="s">
        <v>78</v>
      </c>
      <c r="J32" t="s">
        <v>76</v>
      </c>
      <c r="K32">
        <v>2023</v>
      </c>
      <c r="L32">
        <v>2023</v>
      </c>
      <c r="M32" t="s">
        <v>13</v>
      </c>
      <c r="N32" t="s">
        <v>74</v>
      </c>
      <c r="O32">
        <v>0</v>
      </c>
      <c r="P32">
        <v>2025</v>
      </c>
      <c r="Q32" t="s">
        <v>8</v>
      </c>
      <c r="R32" t="s">
        <v>167</v>
      </c>
    </row>
    <row r="33" spans="1:18" x14ac:dyDescent="0.2">
      <c r="A33" t="s">
        <v>0</v>
      </c>
      <c r="B33" t="s">
        <v>1</v>
      </c>
      <c r="D33" t="s">
        <v>76</v>
      </c>
      <c r="E33" t="s">
        <v>79</v>
      </c>
      <c r="F33">
        <v>38</v>
      </c>
      <c r="G33">
        <v>62</v>
      </c>
      <c r="H33" t="s">
        <v>77</v>
      </c>
      <c r="I33" t="s">
        <v>78</v>
      </c>
      <c r="J33" t="s">
        <v>76</v>
      </c>
      <c r="K33">
        <v>2023</v>
      </c>
      <c r="L33">
        <v>2023</v>
      </c>
      <c r="M33" t="s">
        <v>10</v>
      </c>
      <c r="N33" t="s">
        <v>80</v>
      </c>
      <c r="O33">
        <v>0</v>
      </c>
      <c r="P33">
        <v>2025</v>
      </c>
      <c r="Q33" t="s">
        <v>8</v>
      </c>
      <c r="R33" t="s">
        <v>167</v>
      </c>
    </row>
    <row r="34" spans="1:18" x14ac:dyDescent="0.2">
      <c r="A34" t="s">
        <v>0</v>
      </c>
      <c r="B34" t="s">
        <v>1</v>
      </c>
      <c r="D34" t="s">
        <v>76</v>
      </c>
      <c r="E34" t="s">
        <v>19</v>
      </c>
      <c r="F34" t="s">
        <v>81</v>
      </c>
      <c r="G34" t="s">
        <v>82</v>
      </c>
      <c r="H34" t="s">
        <v>77</v>
      </c>
      <c r="I34" t="s">
        <v>78</v>
      </c>
      <c r="J34" t="s">
        <v>76</v>
      </c>
      <c r="K34">
        <v>2023</v>
      </c>
      <c r="L34">
        <v>2023</v>
      </c>
      <c r="M34" t="s">
        <v>20</v>
      </c>
      <c r="N34" t="s">
        <v>82</v>
      </c>
      <c r="O34">
        <v>0</v>
      </c>
      <c r="P34">
        <v>2025</v>
      </c>
      <c r="Q34" t="s">
        <v>8</v>
      </c>
      <c r="R34" t="s">
        <v>167</v>
      </c>
    </row>
    <row r="35" spans="1:18" x14ac:dyDescent="0.2">
      <c r="A35" t="s">
        <v>0</v>
      </c>
      <c r="B35" t="s">
        <v>1</v>
      </c>
      <c r="D35" t="s">
        <v>83</v>
      </c>
      <c r="E35" t="s">
        <v>12</v>
      </c>
      <c r="F35">
        <v>30</v>
      </c>
      <c r="G35">
        <v>70</v>
      </c>
      <c r="H35" t="s">
        <v>84</v>
      </c>
      <c r="I35" t="s">
        <v>85</v>
      </c>
      <c r="J35" t="s">
        <v>83</v>
      </c>
      <c r="K35">
        <v>2023</v>
      </c>
      <c r="L35">
        <v>2023</v>
      </c>
      <c r="M35" t="s">
        <v>13</v>
      </c>
      <c r="N35" t="s">
        <v>86</v>
      </c>
      <c r="O35">
        <v>0</v>
      </c>
      <c r="P35">
        <v>2025</v>
      </c>
      <c r="Q35" t="s">
        <v>8</v>
      </c>
      <c r="R35" t="s">
        <v>167</v>
      </c>
    </row>
    <row r="36" spans="1:18" x14ac:dyDescent="0.2">
      <c r="A36" t="s">
        <v>0</v>
      </c>
      <c r="B36" t="s">
        <v>1</v>
      </c>
      <c r="D36" t="s">
        <v>83</v>
      </c>
      <c r="E36" t="s">
        <v>12</v>
      </c>
      <c r="F36">
        <v>29</v>
      </c>
      <c r="G36">
        <v>71</v>
      </c>
      <c r="H36" t="s">
        <v>84</v>
      </c>
      <c r="I36" t="s">
        <v>85</v>
      </c>
      <c r="J36" t="s">
        <v>83</v>
      </c>
      <c r="K36">
        <v>2023</v>
      </c>
      <c r="L36">
        <v>2023</v>
      </c>
      <c r="M36" t="s">
        <v>13</v>
      </c>
      <c r="N36" t="s">
        <v>87</v>
      </c>
      <c r="O36">
        <v>0</v>
      </c>
      <c r="P36">
        <v>2025</v>
      </c>
      <c r="Q36" t="s">
        <v>8</v>
      </c>
      <c r="R36" t="s">
        <v>167</v>
      </c>
    </row>
    <row r="37" spans="1:18" x14ac:dyDescent="0.2">
      <c r="A37" t="s">
        <v>0</v>
      </c>
      <c r="B37" t="s">
        <v>1</v>
      </c>
      <c r="D37" t="s">
        <v>83</v>
      </c>
      <c r="E37" t="s">
        <v>12</v>
      </c>
      <c r="F37">
        <v>28</v>
      </c>
      <c r="G37">
        <v>72</v>
      </c>
      <c r="H37" t="s">
        <v>84</v>
      </c>
      <c r="I37" t="s">
        <v>85</v>
      </c>
      <c r="J37" t="s">
        <v>83</v>
      </c>
      <c r="K37">
        <v>2023</v>
      </c>
      <c r="L37">
        <v>2023</v>
      </c>
      <c r="M37" t="s">
        <v>13</v>
      </c>
      <c r="N37" t="s">
        <v>88</v>
      </c>
      <c r="O37">
        <v>0</v>
      </c>
      <c r="P37">
        <v>2025</v>
      </c>
      <c r="Q37" t="s">
        <v>8</v>
      </c>
      <c r="R37" t="s">
        <v>167</v>
      </c>
    </row>
    <row r="38" spans="1:18" x14ac:dyDescent="0.2">
      <c r="A38" t="s">
        <v>0</v>
      </c>
      <c r="B38" t="s">
        <v>1</v>
      </c>
      <c r="D38" t="s">
        <v>83</v>
      </c>
      <c r="E38" t="s">
        <v>17</v>
      </c>
      <c r="F38">
        <v>29</v>
      </c>
      <c r="G38">
        <v>71</v>
      </c>
      <c r="H38" t="s">
        <v>84</v>
      </c>
      <c r="I38" t="s">
        <v>85</v>
      </c>
      <c r="J38" t="s">
        <v>83</v>
      </c>
      <c r="K38">
        <v>2023</v>
      </c>
      <c r="L38">
        <v>2023</v>
      </c>
      <c r="M38" t="s">
        <v>15</v>
      </c>
      <c r="N38" t="s">
        <v>87</v>
      </c>
      <c r="O38">
        <v>0</v>
      </c>
      <c r="P38">
        <v>2025</v>
      </c>
      <c r="Q38" t="s">
        <v>8</v>
      </c>
      <c r="R38" t="s">
        <v>167</v>
      </c>
    </row>
    <row r="39" spans="1:18" x14ac:dyDescent="0.2">
      <c r="A39" t="s">
        <v>0</v>
      </c>
      <c r="B39" t="s">
        <v>1</v>
      </c>
      <c r="D39" t="s">
        <v>83</v>
      </c>
      <c r="E39" t="s">
        <v>17</v>
      </c>
      <c r="F39">
        <v>25</v>
      </c>
      <c r="G39">
        <v>75</v>
      </c>
      <c r="H39" t="s">
        <v>84</v>
      </c>
      <c r="I39" t="s">
        <v>85</v>
      </c>
      <c r="J39" t="s">
        <v>83</v>
      </c>
      <c r="K39">
        <v>2023</v>
      </c>
      <c r="L39">
        <v>2023</v>
      </c>
      <c r="M39" t="s">
        <v>15</v>
      </c>
      <c r="N39" t="s">
        <v>89</v>
      </c>
      <c r="O39">
        <v>0</v>
      </c>
      <c r="P39">
        <v>2025</v>
      </c>
      <c r="Q39" t="s">
        <v>8</v>
      </c>
      <c r="R39" t="s">
        <v>167</v>
      </c>
    </row>
    <row r="40" spans="1:18" x14ac:dyDescent="0.2">
      <c r="A40" t="s">
        <v>0</v>
      </c>
      <c r="B40" t="s">
        <v>1</v>
      </c>
      <c r="D40" t="s">
        <v>83</v>
      </c>
      <c r="E40" t="s">
        <v>19</v>
      </c>
      <c r="F40" t="s">
        <v>90</v>
      </c>
      <c r="G40" t="s">
        <v>91</v>
      </c>
      <c r="H40" t="s">
        <v>84</v>
      </c>
      <c r="I40" t="s">
        <v>85</v>
      </c>
      <c r="J40" t="s">
        <v>83</v>
      </c>
      <c r="K40">
        <v>2023</v>
      </c>
      <c r="L40">
        <v>2023</v>
      </c>
      <c r="M40" t="s">
        <v>20</v>
      </c>
      <c r="N40" t="s">
        <v>92</v>
      </c>
      <c r="O40">
        <v>0</v>
      </c>
      <c r="P40">
        <v>2025</v>
      </c>
      <c r="Q40" t="s">
        <v>8</v>
      </c>
      <c r="R40" t="s">
        <v>167</v>
      </c>
    </row>
    <row r="41" spans="1:18" x14ac:dyDescent="0.2">
      <c r="A41" t="s">
        <v>0</v>
      </c>
      <c r="B41" t="s">
        <v>1</v>
      </c>
      <c r="D41" t="s">
        <v>93</v>
      </c>
      <c r="E41" t="s">
        <v>5</v>
      </c>
      <c r="F41">
        <v>98</v>
      </c>
      <c r="G41">
        <v>2</v>
      </c>
      <c r="H41" t="s">
        <v>94</v>
      </c>
      <c r="I41" t="s">
        <v>95</v>
      </c>
      <c r="J41" t="s">
        <v>93</v>
      </c>
      <c r="K41">
        <v>2023</v>
      </c>
      <c r="L41">
        <v>2023</v>
      </c>
      <c r="M41" t="s">
        <v>6</v>
      </c>
      <c r="N41" t="s">
        <v>96</v>
      </c>
      <c r="O41">
        <v>0</v>
      </c>
      <c r="P41">
        <v>2025</v>
      </c>
      <c r="Q41" t="s">
        <v>8</v>
      </c>
      <c r="R41" t="s">
        <v>167</v>
      </c>
    </row>
    <row r="42" spans="1:18" x14ac:dyDescent="0.2">
      <c r="A42" t="s">
        <v>0</v>
      </c>
      <c r="B42" t="s">
        <v>1</v>
      </c>
      <c r="D42" t="s">
        <v>93</v>
      </c>
      <c r="E42" t="s">
        <v>19</v>
      </c>
      <c r="F42" t="s">
        <v>97</v>
      </c>
      <c r="G42" t="s">
        <v>98</v>
      </c>
      <c r="H42" t="s">
        <v>94</v>
      </c>
      <c r="I42" t="s">
        <v>95</v>
      </c>
      <c r="J42" t="s">
        <v>93</v>
      </c>
      <c r="K42">
        <v>2023</v>
      </c>
      <c r="L42">
        <v>2023</v>
      </c>
      <c r="M42" t="s">
        <v>20</v>
      </c>
      <c r="N42" t="s">
        <v>99</v>
      </c>
      <c r="O42">
        <v>0</v>
      </c>
      <c r="P42">
        <v>2025</v>
      </c>
      <c r="Q42" t="s">
        <v>8</v>
      </c>
      <c r="R42" t="s">
        <v>167</v>
      </c>
    </row>
    <row r="43" spans="1:18" x14ac:dyDescent="0.2">
      <c r="A43" t="s">
        <v>0</v>
      </c>
      <c r="B43" t="s">
        <v>1</v>
      </c>
      <c r="D43" t="s">
        <v>100</v>
      </c>
      <c r="E43" t="s">
        <v>12</v>
      </c>
      <c r="F43">
        <v>37</v>
      </c>
      <c r="G43">
        <v>63</v>
      </c>
      <c r="H43" t="s">
        <v>101</v>
      </c>
      <c r="I43" t="s">
        <v>102</v>
      </c>
      <c r="J43" t="s">
        <v>100</v>
      </c>
      <c r="K43">
        <v>2023</v>
      </c>
      <c r="L43">
        <v>2023</v>
      </c>
      <c r="M43" t="s">
        <v>13</v>
      </c>
      <c r="N43" t="s">
        <v>105</v>
      </c>
      <c r="O43">
        <v>0</v>
      </c>
      <c r="P43">
        <v>2025</v>
      </c>
      <c r="Q43" t="s">
        <v>8</v>
      </c>
      <c r="R43" t="s">
        <v>167</v>
      </c>
    </row>
    <row r="44" spans="1:18" x14ac:dyDescent="0.2">
      <c r="A44" t="s">
        <v>0</v>
      </c>
      <c r="B44" t="s">
        <v>1</v>
      </c>
      <c r="D44" t="s">
        <v>100</v>
      </c>
      <c r="E44" t="s">
        <v>12</v>
      </c>
      <c r="F44">
        <v>65</v>
      </c>
      <c r="G44">
        <v>35</v>
      </c>
      <c r="H44" t="s">
        <v>101</v>
      </c>
      <c r="I44" t="s">
        <v>102</v>
      </c>
      <c r="J44" t="s">
        <v>100</v>
      </c>
      <c r="K44">
        <v>2023</v>
      </c>
      <c r="L44">
        <v>2023</v>
      </c>
      <c r="M44" t="s">
        <v>13</v>
      </c>
      <c r="N44" t="s">
        <v>106</v>
      </c>
      <c r="O44">
        <v>0</v>
      </c>
      <c r="P44">
        <v>2025</v>
      </c>
      <c r="Q44" t="s">
        <v>8</v>
      </c>
      <c r="R44" t="s">
        <v>167</v>
      </c>
    </row>
    <row r="45" spans="1:18" x14ac:dyDescent="0.2">
      <c r="A45" t="s">
        <v>0</v>
      </c>
      <c r="B45" t="s">
        <v>1</v>
      </c>
      <c r="D45" t="s">
        <v>100</v>
      </c>
      <c r="E45" t="s">
        <v>103</v>
      </c>
      <c r="F45">
        <v>72</v>
      </c>
      <c r="G45">
        <v>28</v>
      </c>
      <c r="H45" t="s">
        <v>101</v>
      </c>
      <c r="I45" t="s">
        <v>102</v>
      </c>
      <c r="J45" t="s">
        <v>100</v>
      </c>
      <c r="K45">
        <v>2023</v>
      </c>
      <c r="L45">
        <v>2023</v>
      </c>
      <c r="M45" t="s">
        <v>15</v>
      </c>
      <c r="N45" t="s">
        <v>104</v>
      </c>
      <c r="O45">
        <v>0</v>
      </c>
      <c r="P45">
        <v>2025</v>
      </c>
      <c r="Q45" t="s">
        <v>8</v>
      </c>
      <c r="R45" t="s">
        <v>167</v>
      </c>
    </row>
    <row r="46" spans="1:18" x14ac:dyDescent="0.2">
      <c r="A46" t="s">
        <v>0</v>
      </c>
      <c r="B46" t="s">
        <v>1</v>
      </c>
      <c r="D46" t="s">
        <v>100</v>
      </c>
      <c r="E46" t="s">
        <v>19</v>
      </c>
      <c r="F46" t="s">
        <v>107</v>
      </c>
      <c r="G46" t="s">
        <v>108</v>
      </c>
      <c r="H46" t="s">
        <v>101</v>
      </c>
      <c r="I46" t="s">
        <v>102</v>
      </c>
      <c r="J46" t="s">
        <v>100</v>
      </c>
      <c r="K46">
        <v>2023</v>
      </c>
      <c r="L46">
        <v>2023</v>
      </c>
      <c r="M46" t="s">
        <v>20</v>
      </c>
      <c r="N46" t="s">
        <v>108</v>
      </c>
      <c r="O46">
        <v>0</v>
      </c>
      <c r="P46">
        <v>2025</v>
      </c>
      <c r="Q46" t="s">
        <v>8</v>
      </c>
      <c r="R46" t="s">
        <v>167</v>
      </c>
    </row>
    <row r="47" spans="1:18" x14ac:dyDescent="0.2">
      <c r="A47" t="s">
        <v>0</v>
      </c>
      <c r="B47" t="s">
        <v>1</v>
      </c>
      <c r="D47" t="s">
        <v>109</v>
      </c>
      <c r="E47" t="s">
        <v>12</v>
      </c>
      <c r="F47">
        <v>65</v>
      </c>
      <c r="G47">
        <v>35</v>
      </c>
      <c r="H47" t="s">
        <v>110</v>
      </c>
      <c r="I47" t="s">
        <v>111</v>
      </c>
      <c r="J47" t="s">
        <v>109</v>
      </c>
      <c r="K47">
        <v>2023</v>
      </c>
      <c r="L47">
        <v>2023</v>
      </c>
      <c r="M47" t="s">
        <v>13</v>
      </c>
      <c r="N47" t="s">
        <v>112</v>
      </c>
      <c r="O47">
        <v>0</v>
      </c>
      <c r="P47">
        <v>2025</v>
      </c>
      <c r="Q47" t="s">
        <v>8</v>
      </c>
      <c r="R47" t="s">
        <v>167</v>
      </c>
    </row>
    <row r="48" spans="1:18" x14ac:dyDescent="0.2">
      <c r="A48" t="s">
        <v>0</v>
      </c>
      <c r="B48" t="s">
        <v>1</v>
      </c>
      <c r="D48" t="s">
        <v>109</v>
      </c>
      <c r="E48" t="s">
        <v>19</v>
      </c>
      <c r="F48" t="s">
        <v>112</v>
      </c>
      <c r="G48" t="s">
        <v>113</v>
      </c>
      <c r="H48" t="s">
        <v>110</v>
      </c>
      <c r="I48" t="s">
        <v>111</v>
      </c>
      <c r="J48" t="s">
        <v>109</v>
      </c>
      <c r="K48">
        <v>2023</v>
      </c>
      <c r="L48">
        <v>2023</v>
      </c>
      <c r="M48" t="s">
        <v>20</v>
      </c>
      <c r="N48" t="s">
        <v>113</v>
      </c>
      <c r="O48">
        <v>0</v>
      </c>
      <c r="P48">
        <v>2025</v>
      </c>
      <c r="Q48" t="s">
        <v>8</v>
      </c>
      <c r="R48" t="s">
        <v>167</v>
      </c>
    </row>
    <row r="49" spans="1:18" x14ac:dyDescent="0.2">
      <c r="A49" t="s">
        <v>0</v>
      </c>
      <c r="B49" t="s">
        <v>1</v>
      </c>
      <c r="D49" t="s">
        <v>114</v>
      </c>
      <c r="E49" t="s">
        <v>12</v>
      </c>
      <c r="F49">
        <v>47</v>
      </c>
      <c r="G49">
        <v>53</v>
      </c>
      <c r="H49" t="s">
        <v>115</v>
      </c>
      <c r="I49" t="s">
        <v>116</v>
      </c>
      <c r="J49" t="s">
        <v>114</v>
      </c>
      <c r="K49">
        <v>2023</v>
      </c>
      <c r="L49">
        <v>2023</v>
      </c>
      <c r="M49" t="s">
        <v>13</v>
      </c>
      <c r="N49" t="s">
        <v>118</v>
      </c>
      <c r="O49">
        <v>0</v>
      </c>
      <c r="P49">
        <v>2025</v>
      </c>
      <c r="Q49" t="s">
        <v>8</v>
      </c>
      <c r="R49" t="s">
        <v>167</v>
      </c>
    </row>
    <row r="50" spans="1:18" x14ac:dyDescent="0.2">
      <c r="A50" t="s">
        <v>0</v>
      </c>
      <c r="B50" t="s">
        <v>1</v>
      </c>
      <c r="D50" t="s">
        <v>114</v>
      </c>
      <c r="E50" t="s">
        <v>5</v>
      </c>
      <c r="F50">
        <v>71</v>
      </c>
      <c r="G50">
        <v>29</v>
      </c>
      <c r="H50" t="s">
        <v>115</v>
      </c>
      <c r="I50" t="s">
        <v>116</v>
      </c>
      <c r="J50" t="s">
        <v>114</v>
      </c>
      <c r="K50">
        <v>2023</v>
      </c>
      <c r="L50">
        <v>2023</v>
      </c>
      <c r="M50" t="s">
        <v>6</v>
      </c>
      <c r="N50" t="s">
        <v>117</v>
      </c>
      <c r="O50">
        <v>0</v>
      </c>
      <c r="P50">
        <v>2025</v>
      </c>
      <c r="Q50" t="s">
        <v>8</v>
      </c>
      <c r="R50" t="s">
        <v>167</v>
      </c>
    </row>
    <row r="51" spans="1:18" x14ac:dyDescent="0.2">
      <c r="A51" t="s">
        <v>0</v>
      </c>
      <c r="B51" t="s">
        <v>1</v>
      </c>
      <c r="D51" t="s">
        <v>114</v>
      </c>
      <c r="E51" t="s">
        <v>9</v>
      </c>
      <c r="F51">
        <v>87</v>
      </c>
      <c r="G51">
        <v>13</v>
      </c>
      <c r="H51" t="s">
        <v>115</v>
      </c>
      <c r="I51" t="s">
        <v>116</v>
      </c>
      <c r="J51" t="s">
        <v>114</v>
      </c>
      <c r="K51">
        <v>2023</v>
      </c>
      <c r="L51">
        <v>2023</v>
      </c>
      <c r="M51" t="s">
        <v>10</v>
      </c>
      <c r="N51" t="s">
        <v>7</v>
      </c>
      <c r="O51">
        <v>0</v>
      </c>
      <c r="P51">
        <v>2025</v>
      </c>
      <c r="Q51" t="s">
        <v>8</v>
      </c>
      <c r="R51" t="s">
        <v>167</v>
      </c>
    </row>
    <row r="52" spans="1:18" x14ac:dyDescent="0.2">
      <c r="A52" t="s">
        <v>0</v>
      </c>
      <c r="B52" t="s">
        <v>1</v>
      </c>
      <c r="D52" t="s">
        <v>114</v>
      </c>
      <c r="E52" t="s">
        <v>14</v>
      </c>
      <c r="F52">
        <v>25</v>
      </c>
      <c r="G52">
        <v>75</v>
      </c>
      <c r="H52" t="s">
        <v>115</v>
      </c>
      <c r="I52" t="s">
        <v>116</v>
      </c>
      <c r="J52" t="s">
        <v>114</v>
      </c>
      <c r="K52">
        <v>2023</v>
      </c>
      <c r="L52">
        <v>2023</v>
      </c>
      <c r="M52" t="s">
        <v>15</v>
      </c>
      <c r="N52" t="s">
        <v>34</v>
      </c>
      <c r="O52">
        <v>0</v>
      </c>
      <c r="P52">
        <v>2025</v>
      </c>
      <c r="Q52" t="s">
        <v>8</v>
      </c>
      <c r="R52" t="s">
        <v>167</v>
      </c>
    </row>
    <row r="53" spans="1:18" x14ac:dyDescent="0.2">
      <c r="A53" t="s">
        <v>0</v>
      </c>
      <c r="B53" t="s">
        <v>1</v>
      </c>
      <c r="D53" t="s">
        <v>114</v>
      </c>
      <c r="E53" t="s">
        <v>14</v>
      </c>
      <c r="F53">
        <v>55</v>
      </c>
      <c r="G53">
        <v>45</v>
      </c>
      <c r="H53" t="s">
        <v>115</v>
      </c>
      <c r="I53" t="s">
        <v>116</v>
      </c>
      <c r="J53" t="s">
        <v>114</v>
      </c>
      <c r="K53">
        <v>2023</v>
      </c>
      <c r="L53">
        <v>2023</v>
      </c>
      <c r="M53" t="s">
        <v>15</v>
      </c>
      <c r="N53" t="s">
        <v>121</v>
      </c>
      <c r="O53">
        <v>0</v>
      </c>
      <c r="P53">
        <v>2025</v>
      </c>
      <c r="Q53" t="s">
        <v>8</v>
      </c>
      <c r="R53" t="s">
        <v>167</v>
      </c>
    </row>
    <row r="54" spans="1:18" x14ac:dyDescent="0.2">
      <c r="A54" t="s">
        <v>0</v>
      </c>
      <c r="B54" t="s">
        <v>1</v>
      </c>
      <c r="D54" t="s">
        <v>114</v>
      </c>
      <c r="E54" t="s">
        <v>14</v>
      </c>
      <c r="F54">
        <v>22</v>
      </c>
      <c r="G54">
        <v>78</v>
      </c>
      <c r="H54" t="s">
        <v>115</v>
      </c>
      <c r="I54" t="s">
        <v>116</v>
      </c>
      <c r="J54" t="s">
        <v>114</v>
      </c>
      <c r="K54">
        <v>2023</v>
      </c>
      <c r="L54">
        <v>2023</v>
      </c>
      <c r="M54" t="s">
        <v>15</v>
      </c>
      <c r="N54" t="s">
        <v>52</v>
      </c>
      <c r="O54">
        <v>0</v>
      </c>
      <c r="P54">
        <v>2025</v>
      </c>
      <c r="Q54" t="s">
        <v>8</v>
      </c>
      <c r="R54" t="s">
        <v>167</v>
      </c>
    </row>
    <row r="55" spans="1:18" x14ac:dyDescent="0.2">
      <c r="A55" t="s">
        <v>0</v>
      </c>
      <c r="B55" t="s">
        <v>1</v>
      </c>
      <c r="D55" t="s">
        <v>114</v>
      </c>
      <c r="E55" t="s">
        <v>17</v>
      </c>
      <c r="F55">
        <v>55</v>
      </c>
      <c r="G55">
        <v>45</v>
      </c>
      <c r="H55" t="s">
        <v>115</v>
      </c>
      <c r="I55" t="s">
        <v>116</v>
      </c>
      <c r="J55" t="s">
        <v>114</v>
      </c>
      <c r="K55">
        <v>2023</v>
      </c>
      <c r="L55">
        <v>2023</v>
      </c>
      <c r="M55" t="s">
        <v>15</v>
      </c>
      <c r="N55" t="s">
        <v>122</v>
      </c>
      <c r="O55">
        <v>0</v>
      </c>
      <c r="P55">
        <v>2025</v>
      </c>
      <c r="Q55" t="s">
        <v>8</v>
      </c>
      <c r="R55" t="s">
        <v>167</v>
      </c>
    </row>
    <row r="56" spans="1:18" x14ac:dyDescent="0.2">
      <c r="A56" t="s">
        <v>0</v>
      </c>
      <c r="B56" t="s">
        <v>1</v>
      </c>
      <c r="D56" t="s">
        <v>114</v>
      </c>
      <c r="E56" t="s">
        <v>51</v>
      </c>
      <c r="F56">
        <v>59</v>
      </c>
      <c r="G56">
        <v>41</v>
      </c>
      <c r="H56" t="s">
        <v>115</v>
      </c>
      <c r="I56" t="s">
        <v>116</v>
      </c>
      <c r="J56" t="s">
        <v>114</v>
      </c>
      <c r="K56">
        <v>2023</v>
      </c>
      <c r="L56">
        <v>2023</v>
      </c>
      <c r="M56" t="s">
        <v>15</v>
      </c>
      <c r="N56" t="s">
        <v>123</v>
      </c>
      <c r="O56">
        <v>0</v>
      </c>
      <c r="P56">
        <v>2025</v>
      </c>
      <c r="Q56" t="s">
        <v>8</v>
      </c>
      <c r="R56" t="s">
        <v>167</v>
      </c>
    </row>
    <row r="57" spans="1:18" x14ac:dyDescent="0.2">
      <c r="A57" t="s">
        <v>0</v>
      </c>
      <c r="B57" t="s">
        <v>1</v>
      </c>
      <c r="D57" t="s">
        <v>114</v>
      </c>
      <c r="E57" t="s">
        <v>51</v>
      </c>
      <c r="F57">
        <v>21</v>
      </c>
      <c r="G57">
        <v>79</v>
      </c>
      <c r="H57" t="s">
        <v>115</v>
      </c>
      <c r="I57" t="s">
        <v>116</v>
      </c>
      <c r="J57" t="s">
        <v>114</v>
      </c>
      <c r="K57">
        <v>2023</v>
      </c>
      <c r="L57">
        <v>2023</v>
      </c>
      <c r="M57" t="s">
        <v>15</v>
      </c>
      <c r="N57" t="s">
        <v>40</v>
      </c>
      <c r="O57">
        <v>0</v>
      </c>
      <c r="P57">
        <v>2025</v>
      </c>
      <c r="Q57" t="s">
        <v>8</v>
      </c>
      <c r="R57" t="s">
        <v>167</v>
      </c>
    </row>
    <row r="58" spans="1:18" x14ac:dyDescent="0.2">
      <c r="A58" t="s">
        <v>0</v>
      </c>
      <c r="B58" t="s">
        <v>1</v>
      </c>
      <c r="D58" t="s">
        <v>114</v>
      </c>
      <c r="E58" t="s">
        <v>19</v>
      </c>
      <c r="F58" t="s">
        <v>119</v>
      </c>
      <c r="G58" t="s">
        <v>120</v>
      </c>
      <c r="H58" t="s">
        <v>115</v>
      </c>
      <c r="I58" t="s">
        <v>116</v>
      </c>
      <c r="J58" t="s">
        <v>114</v>
      </c>
      <c r="K58">
        <v>2023</v>
      </c>
      <c r="L58">
        <v>2023</v>
      </c>
      <c r="M58" t="s">
        <v>20</v>
      </c>
      <c r="N58" t="s">
        <v>120</v>
      </c>
      <c r="O58">
        <v>0</v>
      </c>
      <c r="P58">
        <v>2025</v>
      </c>
      <c r="Q58" t="s">
        <v>8</v>
      </c>
      <c r="R58" t="s">
        <v>167</v>
      </c>
    </row>
    <row r="59" spans="1:18" x14ac:dyDescent="0.2">
      <c r="A59" t="s">
        <v>0</v>
      </c>
      <c r="B59" t="s">
        <v>1</v>
      </c>
      <c r="D59" t="s">
        <v>114</v>
      </c>
      <c r="E59" t="s">
        <v>19</v>
      </c>
      <c r="F59" t="s">
        <v>124</v>
      </c>
      <c r="G59" t="s">
        <v>125</v>
      </c>
      <c r="H59" t="s">
        <v>115</v>
      </c>
      <c r="I59" t="s">
        <v>116</v>
      </c>
      <c r="J59" t="s">
        <v>114</v>
      </c>
      <c r="K59">
        <v>2023</v>
      </c>
      <c r="L59">
        <v>2023</v>
      </c>
      <c r="M59" t="s">
        <v>20</v>
      </c>
      <c r="N59" t="s">
        <v>126</v>
      </c>
      <c r="O59">
        <v>0</v>
      </c>
      <c r="P59">
        <v>2025</v>
      </c>
      <c r="Q59" t="s">
        <v>8</v>
      </c>
      <c r="R59" t="s">
        <v>167</v>
      </c>
    </row>
    <row r="60" spans="1:18" x14ac:dyDescent="0.2">
      <c r="A60" t="s">
        <v>0</v>
      </c>
      <c r="B60" t="s">
        <v>1</v>
      </c>
      <c r="D60" t="s">
        <v>127</v>
      </c>
      <c r="E60" t="s">
        <v>5</v>
      </c>
      <c r="F60">
        <v>21</v>
      </c>
      <c r="G60">
        <v>79</v>
      </c>
      <c r="H60" t="s">
        <v>115</v>
      </c>
      <c r="I60" t="s">
        <v>116</v>
      </c>
      <c r="J60" t="s">
        <v>127</v>
      </c>
      <c r="K60">
        <v>2023</v>
      </c>
      <c r="L60">
        <v>2023</v>
      </c>
      <c r="M60" t="s">
        <v>6</v>
      </c>
      <c r="N60" t="s">
        <v>128</v>
      </c>
      <c r="O60">
        <v>0</v>
      </c>
      <c r="P60">
        <v>2025</v>
      </c>
      <c r="Q60" t="s">
        <v>8</v>
      </c>
      <c r="R60" t="s">
        <v>167</v>
      </c>
    </row>
    <row r="61" spans="1:18" x14ac:dyDescent="0.2">
      <c r="A61" t="s">
        <v>0</v>
      </c>
      <c r="B61" t="s">
        <v>1</v>
      </c>
      <c r="D61" t="s">
        <v>127</v>
      </c>
      <c r="E61" t="s">
        <v>19</v>
      </c>
      <c r="F61" t="s">
        <v>129</v>
      </c>
      <c r="G61" t="s">
        <v>130</v>
      </c>
      <c r="H61" t="s">
        <v>115</v>
      </c>
      <c r="I61" t="s">
        <v>116</v>
      </c>
      <c r="J61" t="s">
        <v>127</v>
      </c>
      <c r="K61">
        <v>2023</v>
      </c>
      <c r="L61">
        <v>2023</v>
      </c>
      <c r="M61" t="s">
        <v>20</v>
      </c>
      <c r="N61" t="s">
        <v>130</v>
      </c>
      <c r="O61">
        <v>0</v>
      </c>
      <c r="P61">
        <v>2025</v>
      </c>
      <c r="Q61" t="s">
        <v>8</v>
      </c>
      <c r="R61" t="s">
        <v>167</v>
      </c>
    </row>
    <row r="62" spans="1:18" x14ac:dyDescent="0.2">
      <c r="A62" t="s">
        <v>0</v>
      </c>
      <c r="B62" t="s">
        <v>1</v>
      </c>
      <c r="D62" t="s">
        <v>131</v>
      </c>
      <c r="E62" t="s">
        <v>5</v>
      </c>
      <c r="F62">
        <v>60</v>
      </c>
      <c r="G62">
        <v>40</v>
      </c>
      <c r="H62" t="s">
        <v>132</v>
      </c>
      <c r="I62" t="s">
        <v>133</v>
      </c>
      <c r="J62" t="s">
        <v>131</v>
      </c>
      <c r="K62">
        <v>2023</v>
      </c>
      <c r="L62">
        <v>2023</v>
      </c>
      <c r="M62" t="s">
        <v>6</v>
      </c>
      <c r="N62" t="s">
        <v>134</v>
      </c>
      <c r="O62">
        <v>0</v>
      </c>
      <c r="P62">
        <v>2025</v>
      </c>
      <c r="Q62" t="s">
        <v>8</v>
      </c>
      <c r="R62" t="s">
        <v>167</v>
      </c>
    </row>
    <row r="63" spans="1:18" x14ac:dyDescent="0.2">
      <c r="A63" t="s">
        <v>0</v>
      </c>
      <c r="B63" t="s">
        <v>1</v>
      </c>
      <c r="D63" t="s">
        <v>131</v>
      </c>
      <c r="E63" t="s">
        <v>39</v>
      </c>
      <c r="F63">
        <v>60</v>
      </c>
      <c r="G63">
        <v>40</v>
      </c>
      <c r="H63" t="s">
        <v>132</v>
      </c>
      <c r="I63" t="s">
        <v>133</v>
      </c>
      <c r="J63" t="s">
        <v>131</v>
      </c>
      <c r="K63">
        <v>2023</v>
      </c>
      <c r="L63">
        <v>2023</v>
      </c>
      <c r="M63" t="s">
        <v>15</v>
      </c>
      <c r="N63" t="s">
        <v>134</v>
      </c>
      <c r="O63">
        <v>0</v>
      </c>
      <c r="P63">
        <v>2025</v>
      </c>
      <c r="Q63" t="s">
        <v>8</v>
      </c>
      <c r="R63" t="s">
        <v>167</v>
      </c>
    </row>
    <row r="64" spans="1:18" x14ac:dyDescent="0.2">
      <c r="A64" t="s">
        <v>0</v>
      </c>
      <c r="B64" t="s">
        <v>1</v>
      </c>
      <c r="D64" t="s">
        <v>131</v>
      </c>
      <c r="E64" t="s">
        <v>14</v>
      </c>
      <c r="F64">
        <v>60</v>
      </c>
      <c r="G64">
        <v>40</v>
      </c>
      <c r="H64" t="s">
        <v>132</v>
      </c>
      <c r="I64" t="s">
        <v>133</v>
      </c>
      <c r="J64" t="s">
        <v>131</v>
      </c>
      <c r="K64">
        <v>2023</v>
      </c>
      <c r="L64">
        <v>2023</v>
      </c>
      <c r="M64" t="s">
        <v>15</v>
      </c>
      <c r="N64" t="s">
        <v>134</v>
      </c>
      <c r="O64">
        <v>0</v>
      </c>
      <c r="P64">
        <v>2025</v>
      </c>
      <c r="Q64" t="s">
        <v>8</v>
      </c>
      <c r="R64" t="s">
        <v>167</v>
      </c>
    </row>
    <row r="65" spans="1:18" x14ac:dyDescent="0.2">
      <c r="A65" t="s">
        <v>0</v>
      </c>
      <c r="B65" t="s">
        <v>1</v>
      </c>
      <c r="D65" t="s">
        <v>131</v>
      </c>
      <c r="E65" t="s">
        <v>19</v>
      </c>
      <c r="F65" t="s">
        <v>135</v>
      </c>
      <c r="G65" t="s">
        <v>136</v>
      </c>
      <c r="H65" t="s">
        <v>132</v>
      </c>
      <c r="I65" t="s">
        <v>133</v>
      </c>
      <c r="J65" t="s">
        <v>131</v>
      </c>
      <c r="K65">
        <v>2023</v>
      </c>
      <c r="L65">
        <v>2023</v>
      </c>
      <c r="M65" t="s">
        <v>20</v>
      </c>
      <c r="N65" t="s">
        <v>136</v>
      </c>
      <c r="O65">
        <v>0</v>
      </c>
      <c r="P65">
        <v>2025</v>
      </c>
      <c r="Q65" t="s">
        <v>8</v>
      </c>
      <c r="R65" t="s">
        <v>167</v>
      </c>
    </row>
    <row r="66" spans="1:18" x14ac:dyDescent="0.2">
      <c r="A66" t="s">
        <v>0</v>
      </c>
      <c r="B66" t="s">
        <v>1</v>
      </c>
      <c r="D66" t="s">
        <v>137</v>
      </c>
      <c r="E66" t="s">
        <v>9</v>
      </c>
      <c r="F66">
        <v>27</v>
      </c>
      <c r="G66">
        <v>73</v>
      </c>
      <c r="H66" t="s">
        <v>138</v>
      </c>
      <c r="I66" t="s">
        <v>139</v>
      </c>
      <c r="J66" t="s">
        <v>137</v>
      </c>
      <c r="K66">
        <v>2023</v>
      </c>
      <c r="L66">
        <v>2023</v>
      </c>
      <c r="M66" t="s">
        <v>10</v>
      </c>
      <c r="N66" t="s">
        <v>27</v>
      </c>
      <c r="O66">
        <v>0</v>
      </c>
      <c r="P66">
        <v>2025</v>
      </c>
      <c r="Q66" t="s">
        <v>8</v>
      </c>
      <c r="R66" t="s">
        <v>167</v>
      </c>
    </row>
    <row r="67" spans="1:18" x14ac:dyDescent="0.2">
      <c r="A67" t="s">
        <v>0</v>
      </c>
      <c r="B67" t="s">
        <v>1</v>
      </c>
      <c r="D67" t="s">
        <v>137</v>
      </c>
      <c r="E67" t="s">
        <v>19</v>
      </c>
      <c r="F67" t="s">
        <v>27</v>
      </c>
      <c r="G67" t="s">
        <v>140</v>
      </c>
      <c r="H67" t="s">
        <v>138</v>
      </c>
      <c r="I67" t="s">
        <v>139</v>
      </c>
      <c r="J67" t="s">
        <v>137</v>
      </c>
      <c r="K67">
        <v>2023</v>
      </c>
      <c r="L67">
        <v>2023</v>
      </c>
      <c r="M67" t="s">
        <v>20</v>
      </c>
      <c r="N67" t="s">
        <v>141</v>
      </c>
      <c r="O67">
        <v>0</v>
      </c>
      <c r="P67">
        <v>2025</v>
      </c>
      <c r="Q67" t="s">
        <v>8</v>
      </c>
      <c r="R67" t="s">
        <v>167</v>
      </c>
    </row>
    <row r="68" spans="1:18" x14ac:dyDescent="0.2">
      <c r="A68" t="s">
        <v>0</v>
      </c>
      <c r="B68" t="s">
        <v>1</v>
      </c>
      <c r="D68" t="s">
        <v>142</v>
      </c>
      <c r="E68" t="s">
        <v>12</v>
      </c>
      <c r="F68">
        <v>38</v>
      </c>
      <c r="G68">
        <v>62</v>
      </c>
      <c r="H68" t="s">
        <v>143</v>
      </c>
      <c r="I68" t="s">
        <v>144</v>
      </c>
      <c r="J68" t="s">
        <v>142</v>
      </c>
      <c r="K68">
        <v>2023</v>
      </c>
      <c r="L68">
        <v>2023</v>
      </c>
      <c r="M68" t="s">
        <v>13</v>
      </c>
      <c r="N68" t="s">
        <v>80</v>
      </c>
      <c r="O68">
        <v>0</v>
      </c>
      <c r="P68">
        <v>2025</v>
      </c>
      <c r="Q68" t="s">
        <v>8</v>
      </c>
      <c r="R68" t="s">
        <v>167</v>
      </c>
    </row>
    <row r="69" spans="1:18" x14ac:dyDescent="0.2">
      <c r="A69" t="s">
        <v>0</v>
      </c>
      <c r="B69" t="s">
        <v>1</v>
      </c>
      <c r="D69" t="s">
        <v>142</v>
      </c>
      <c r="E69" t="s">
        <v>145</v>
      </c>
      <c r="F69">
        <v>38</v>
      </c>
      <c r="G69">
        <v>62</v>
      </c>
      <c r="H69" t="s">
        <v>143</v>
      </c>
      <c r="I69" t="s">
        <v>144</v>
      </c>
      <c r="J69" t="s">
        <v>142</v>
      </c>
      <c r="K69">
        <v>2023</v>
      </c>
      <c r="L69">
        <v>2023</v>
      </c>
      <c r="M69" t="s">
        <v>10</v>
      </c>
      <c r="N69" t="s">
        <v>80</v>
      </c>
      <c r="O69">
        <v>0</v>
      </c>
      <c r="P69">
        <v>2025</v>
      </c>
      <c r="Q69" t="s">
        <v>8</v>
      </c>
      <c r="R69" t="s">
        <v>167</v>
      </c>
    </row>
    <row r="70" spans="1:18" x14ac:dyDescent="0.2">
      <c r="A70" t="s">
        <v>0</v>
      </c>
      <c r="B70" t="s">
        <v>1</v>
      </c>
      <c r="D70" t="s">
        <v>142</v>
      </c>
      <c r="E70" t="s">
        <v>5</v>
      </c>
      <c r="F70">
        <v>30</v>
      </c>
      <c r="G70">
        <v>70</v>
      </c>
      <c r="H70" t="s">
        <v>143</v>
      </c>
      <c r="I70" t="s">
        <v>144</v>
      </c>
      <c r="J70" t="s">
        <v>142</v>
      </c>
      <c r="K70">
        <v>2023</v>
      </c>
      <c r="L70">
        <v>2023</v>
      </c>
      <c r="M70" t="s">
        <v>6</v>
      </c>
      <c r="N70" t="s">
        <v>11</v>
      </c>
      <c r="O70">
        <v>0</v>
      </c>
      <c r="P70">
        <v>2025</v>
      </c>
      <c r="Q70" t="s">
        <v>8</v>
      </c>
      <c r="R70" t="s">
        <v>167</v>
      </c>
    </row>
    <row r="71" spans="1:18" x14ac:dyDescent="0.2">
      <c r="A71" t="s">
        <v>0</v>
      </c>
      <c r="B71" t="s">
        <v>1</v>
      </c>
      <c r="D71" t="s">
        <v>142</v>
      </c>
      <c r="E71" t="s">
        <v>39</v>
      </c>
      <c r="F71">
        <v>30</v>
      </c>
      <c r="G71">
        <v>70</v>
      </c>
      <c r="H71" t="s">
        <v>143</v>
      </c>
      <c r="I71" t="s">
        <v>144</v>
      </c>
      <c r="J71" t="s">
        <v>142</v>
      </c>
      <c r="K71">
        <v>2023</v>
      </c>
      <c r="L71">
        <v>2023</v>
      </c>
      <c r="M71" t="s">
        <v>15</v>
      </c>
      <c r="N71" t="s">
        <v>146</v>
      </c>
      <c r="O71">
        <v>0</v>
      </c>
      <c r="P71">
        <v>2025</v>
      </c>
      <c r="Q71" t="s">
        <v>8</v>
      </c>
      <c r="R71" t="s">
        <v>167</v>
      </c>
    </row>
    <row r="72" spans="1:18" x14ac:dyDescent="0.2">
      <c r="A72" t="s">
        <v>0</v>
      </c>
      <c r="B72" t="s">
        <v>1</v>
      </c>
      <c r="D72" t="s">
        <v>142</v>
      </c>
      <c r="E72" t="s">
        <v>14</v>
      </c>
      <c r="F72">
        <v>38</v>
      </c>
      <c r="G72">
        <v>62</v>
      </c>
      <c r="H72" t="s">
        <v>143</v>
      </c>
      <c r="I72" t="s">
        <v>144</v>
      </c>
      <c r="J72" t="s">
        <v>142</v>
      </c>
      <c r="K72">
        <v>2023</v>
      </c>
      <c r="L72">
        <v>2023</v>
      </c>
      <c r="M72" t="s">
        <v>15</v>
      </c>
      <c r="N72" t="s">
        <v>147</v>
      </c>
      <c r="O72">
        <v>0</v>
      </c>
      <c r="P72">
        <v>2025</v>
      </c>
      <c r="Q72" t="s">
        <v>8</v>
      </c>
      <c r="R72" t="s">
        <v>167</v>
      </c>
    </row>
    <row r="73" spans="1:18" x14ac:dyDescent="0.2">
      <c r="A73" t="s">
        <v>0</v>
      </c>
      <c r="B73" t="s">
        <v>1</v>
      </c>
      <c r="D73" t="s">
        <v>142</v>
      </c>
      <c r="E73" t="s">
        <v>17</v>
      </c>
      <c r="F73">
        <v>38</v>
      </c>
      <c r="G73">
        <v>62</v>
      </c>
      <c r="H73" t="s">
        <v>143</v>
      </c>
      <c r="I73" t="s">
        <v>144</v>
      </c>
      <c r="J73" t="s">
        <v>142</v>
      </c>
      <c r="K73">
        <v>2023</v>
      </c>
      <c r="L73">
        <v>2023</v>
      </c>
      <c r="M73" t="s">
        <v>15</v>
      </c>
      <c r="N73" t="s">
        <v>80</v>
      </c>
      <c r="O73">
        <v>0</v>
      </c>
      <c r="P73">
        <v>2025</v>
      </c>
      <c r="Q73" t="s">
        <v>8</v>
      </c>
      <c r="R73" t="s">
        <v>167</v>
      </c>
    </row>
    <row r="74" spans="1:18" x14ac:dyDescent="0.2">
      <c r="A74" t="s">
        <v>0</v>
      </c>
      <c r="B74" t="s">
        <v>1</v>
      </c>
      <c r="D74" t="s">
        <v>142</v>
      </c>
      <c r="E74" t="s">
        <v>51</v>
      </c>
      <c r="F74">
        <v>80</v>
      </c>
      <c r="G74">
        <v>20</v>
      </c>
      <c r="H74" t="s">
        <v>143</v>
      </c>
      <c r="I74" t="s">
        <v>144</v>
      </c>
      <c r="J74" t="s">
        <v>142</v>
      </c>
      <c r="K74">
        <v>2023</v>
      </c>
      <c r="L74">
        <v>2023</v>
      </c>
      <c r="M74" t="s">
        <v>15</v>
      </c>
      <c r="N74" t="s">
        <v>50</v>
      </c>
      <c r="O74">
        <v>0</v>
      </c>
      <c r="P74">
        <v>2025</v>
      </c>
      <c r="Q74" t="s">
        <v>8</v>
      </c>
      <c r="R74" t="s">
        <v>167</v>
      </c>
    </row>
    <row r="75" spans="1:18" x14ac:dyDescent="0.2">
      <c r="A75" t="s">
        <v>0</v>
      </c>
      <c r="B75" t="s">
        <v>1</v>
      </c>
      <c r="D75" t="s">
        <v>142</v>
      </c>
      <c r="E75" t="s">
        <v>19</v>
      </c>
      <c r="F75" t="s">
        <v>148</v>
      </c>
      <c r="G75" t="s">
        <v>149</v>
      </c>
      <c r="H75" t="s">
        <v>143</v>
      </c>
      <c r="I75" t="s">
        <v>144</v>
      </c>
      <c r="J75" t="s">
        <v>142</v>
      </c>
      <c r="K75">
        <v>2023</v>
      </c>
      <c r="L75">
        <v>2023</v>
      </c>
      <c r="M75" t="s">
        <v>20</v>
      </c>
      <c r="N75" t="s">
        <v>149</v>
      </c>
      <c r="O75">
        <v>0</v>
      </c>
      <c r="P75">
        <v>2025</v>
      </c>
      <c r="Q75" t="s">
        <v>8</v>
      </c>
      <c r="R75" t="s">
        <v>167</v>
      </c>
    </row>
  </sheetData>
  <sortState xmlns:xlrd2="http://schemas.microsoft.com/office/spreadsheetml/2017/richdata2" ref="A2:R75">
    <sortCondition ref="D2:D75"/>
  </sortState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6976F-6C7C-FA4E-8F66-3A2CF2B86C32}">
  <dimension ref="A1:D799"/>
  <sheetViews>
    <sheetView workbookViewId="0">
      <selection activeCell="C15" sqref="C15"/>
    </sheetView>
  </sheetViews>
  <sheetFormatPr baseColWidth="10" defaultRowHeight="16" x14ac:dyDescent="0.2"/>
  <cols>
    <col min="1" max="1" width="17.1640625" bestFit="1" customWidth="1"/>
    <col min="2" max="2" width="10.6640625" bestFit="1" customWidth="1"/>
    <col min="3" max="3" width="11" bestFit="1" customWidth="1"/>
    <col min="4" max="4" width="8.33203125" bestFit="1" customWidth="1"/>
  </cols>
  <sheetData>
    <row r="1" spans="1:4" x14ac:dyDescent="0.2">
      <c r="A1" t="s">
        <v>173</v>
      </c>
      <c r="B1" t="s">
        <v>161</v>
      </c>
      <c r="C1" t="s">
        <v>158</v>
      </c>
      <c r="D1" t="s">
        <v>160</v>
      </c>
    </row>
    <row r="2" spans="1:4" x14ac:dyDescent="0.2">
      <c r="A2" t="s">
        <v>187</v>
      </c>
      <c r="B2">
        <v>27</v>
      </c>
      <c r="C2" t="s">
        <v>272</v>
      </c>
      <c r="D2">
        <v>0</v>
      </c>
    </row>
    <row r="3" spans="1:4" x14ac:dyDescent="0.2">
      <c r="A3" t="s">
        <v>187</v>
      </c>
      <c r="B3">
        <v>27</v>
      </c>
      <c r="C3" t="s">
        <v>273</v>
      </c>
      <c r="D3">
        <v>27</v>
      </c>
    </row>
    <row r="4" spans="1:4" x14ac:dyDescent="0.2">
      <c r="A4" t="s">
        <v>187</v>
      </c>
      <c r="B4">
        <v>27</v>
      </c>
      <c r="C4" t="s">
        <v>274</v>
      </c>
      <c r="D4">
        <v>0</v>
      </c>
    </row>
    <row r="5" spans="1:4" x14ac:dyDescent="0.2">
      <c r="A5" t="s">
        <v>187</v>
      </c>
      <c r="B5">
        <v>27</v>
      </c>
      <c r="C5" t="s">
        <v>275</v>
      </c>
      <c r="D5">
        <v>27</v>
      </c>
    </row>
    <row r="6" spans="1:4" x14ac:dyDescent="0.2">
      <c r="A6" t="s">
        <v>187</v>
      </c>
      <c r="B6">
        <v>27</v>
      </c>
      <c r="C6" t="s">
        <v>276</v>
      </c>
      <c r="D6">
        <v>0</v>
      </c>
    </row>
    <row r="7" spans="1:4" x14ac:dyDescent="0.2">
      <c r="A7" t="s">
        <v>187</v>
      </c>
      <c r="B7">
        <v>27</v>
      </c>
      <c r="C7" t="s">
        <v>277</v>
      </c>
      <c r="D7">
        <v>27</v>
      </c>
    </row>
    <row r="8" spans="1:4" x14ac:dyDescent="0.2">
      <c r="A8" t="s">
        <v>187</v>
      </c>
      <c r="B8">
        <v>27</v>
      </c>
      <c r="C8" t="s">
        <v>278</v>
      </c>
      <c r="D8">
        <v>27</v>
      </c>
    </row>
    <row r="9" spans="1:4" x14ac:dyDescent="0.2">
      <c r="A9" t="s">
        <v>187</v>
      </c>
      <c r="B9">
        <v>27</v>
      </c>
      <c r="C9" t="s">
        <v>279</v>
      </c>
      <c r="D9">
        <v>0</v>
      </c>
    </row>
    <row r="10" spans="1:4" x14ac:dyDescent="0.2">
      <c r="A10" t="s">
        <v>187</v>
      </c>
      <c r="B10">
        <v>27</v>
      </c>
      <c r="C10" t="s">
        <v>280</v>
      </c>
      <c r="D10">
        <v>27</v>
      </c>
    </row>
    <row r="11" spans="1:4" x14ac:dyDescent="0.2">
      <c r="A11" t="s">
        <v>187</v>
      </c>
      <c r="B11">
        <v>27</v>
      </c>
      <c r="C11" t="s">
        <v>281</v>
      </c>
      <c r="D11">
        <v>0</v>
      </c>
    </row>
    <row r="12" spans="1:4" x14ac:dyDescent="0.2">
      <c r="A12" t="s">
        <v>187</v>
      </c>
      <c r="B12">
        <v>27</v>
      </c>
      <c r="C12" t="s">
        <v>282</v>
      </c>
      <c r="D12">
        <v>2</v>
      </c>
    </row>
    <row r="13" spans="1:4" x14ac:dyDescent="0.2">
      <c r="A13" t="s">
        <v>187</v>
      </c>
      <c r="B13">
        <v>27</v>
      </c>
      <c r="C13" t="s">
        <v>283</v>
      </c>
      <c r="D13">
        <v>25</v>
      </c>
    </row>
    <row r="14" spans="1:4" x14ac:dyDescent="0.2">
      <c r="A14" t="s">
        <v>187</v>
      </c>
      <c r="B14">
        <v>27</v>
      </c>
      <c r="C14" t="s">
        <v>284</v>
      </c>
      <c r="D14">
        <v>0</v>
      </c>
    </row>
    <row r="15" spans="1:4" x14ac:dyDescent="0.2">
      <c r="A15" t="s">
        <v>187</v>
      </c>
      <c r="B15">
        <v>27</v>
      </c>
      <c r="C15" t="s">
        <v>19</v>
      </c>
      <c r="D15">
        <v>25</v>
      </c>
    </row>
    <row r="16" spans="1:4" x14ac:dyDescent="0.2">
      <c r="A16" t="s">
        <v>190</v>
      </c>
      <c r="B16">
        <v>29</v>
      </c>
      <c r="C16" t="s">
        <v>272</v>
      </c>
      <c r="D16">
        <v>5</v>
      </c>
    </row>
    <row r="17" spans="1:4" x14ac:dyDescent="0.2">
      <c r="A17" t="s">
        <v>190</v>
      </c>
      <c r="B17">
        <v>29</v>
      </c>
      <c r="C17" t="s">
        <v>273</v>
      </c>
      <c r="D17">
        <v>24</v>
      </c>
    </row>
    <row r="18" spans="1:4" x14ac:dyDescent="0.2">
      <c r="A18" t="s">
        <v>190</v>
      </c>
      <c r="B18">
        <v>29</v>
      </c>
      <c r="C18" t="s">
        <v>274</v>
      </c>
      <c r="D18">
        <v>0</v>
      </c>
    </row>
    <row r="19" spans="1:4" x14ac:dyDescent="0.2">
      <c r="A19" t="s">
        <v>190</v>
      </c>
      <c r="B19">
        <v>29</v>
      </c>
      <c r="C19" t="s">
        <v>275</v>
      </c>
      <c r="D19">
        <v>29</v>
      </c>
    </row>
    <row r="20" spans="1:4" x14ac:dyDescent="0.2">
      <c r="A20" t="s">
        <v>190</v>
      </c>
      <c r="B20">
        <v>29</v>
      </c>
      <c r="C20" t="s">
        <v>276</v>
      </c>
      <c r="D20">
        <v>0</v>
      </c>
    </row>
    <row r="21" spans="1:4" x14ac:dyDescent="0.2">
      <c r="A21" t="s">
        <v>190</v>
      </c>
      <c r="B21">
        <v>29</v>
      </c>
      <c r="C21" t="s">
        <v>277</v>
      </c>
      <c r="D21">
        <v>29</v>
      </c>
    </row>
    <row r="22" spans="1:4" x14ac:dyDescent="0.2">
      <c r="A22" t="s">
        <v>190</v>
      </c>
      <c r="B22">
        <v>29</v>
      </c>
      <c r="C22" t="s">
        <v>278</v>
      </c>
      <c r="D22">
        <v>29</v>
      </c>
    </row>
    <row r="23" spans="1:4" x14ac:dyDescent="0.2">
      <c r="A23" t="s">
        <v>190</v>
      </c>
      <c r="B23">
        <v>29</v>
      </c>
      <c r="C23" t="s">
        <v>279</v>
      </c>
      <c r="D23">
        <v>0</v>
      </c>
    </row>
    <row r="24" spans="1:4" x14ac:dyDescent="0.2">
      <c r="A24" t="s">
        <v>190</v>
      </c>
      <c r="B24">
        <v>29</v>
      </c>
      <c r="C24" t="s">
        <v>280</v>
      </c>
      <c r="D24">
        <v>29</v>
      </c>
    </row>
    <row r="25" spans="1:4" x14ac:dyDescent="0.2">
      <c r="A25" t="s">
        <v>190</v>
      </c>
      <c r="B25">
        <v>29</v>
      </c>
      <c r="C25" t="s">
        <v>281</v>
      </c>
      <c r="D25">
        <v>0</v>
      </c>
    </row>
    <row r="26" spans="1:4" x14ac:dyDescent="0.2">
      <c r="A26" t="s">
        <v>190</v>
      </c>
      <c r="B26">
        <v>29</v>
      </c>
      <c r="C26" t="s">
        <v>282</v>
      </c>
      <c r="D26">
        <v>2</v>
      </c>
    </row>
    <row r="27" spans="1:4" x14ac:dyDescent="0.2">
      <c r="A27" t="s">
        <v>190</v>
      </c>
      <c r="B27">
        <v>29</v>
      </c>
      <c r="C27" t="s">
        <v>283</v>
      </c>
      <c r="D27">
        <v>27</v>
      </c>
    </row>
    <row r="28" spans="1:4" x14ac:dyDescent="0.2">
      <c r="A28" t="s">
        <v>190</v>
      </c>
      <c r="B28">
        <v>29</v>
      </c>
      <c r="C28" t="s">
        <v>284</v>
      </c>
      <c r="D28">
        <v>0</v>
      </c>
    </row>
    <row r="29" spans="1:4" x14ac:dyDescent="0.2">
      <c r="A29" t="s">
        <v>190</v>
      </c>
      <c r="B29">
        <v>29</v>
      </c>
      <c r="C29" t="s">
        <v>19</v>
      </c>
      <c r="D29">
        <v>22</v>
      </c>
    </row>
    <row r="30" spans="1:4" x14ac:dyDescent="0.2">
      <c r="A30" t="s">
        <v>193</v>
      </c>
      <c r="B30">
        <v>87</v>
      </c>
      <c r="C30" t="s">
        <v>272</v>
      </c>
      <c r="D30">
        <v>3</v>
      </c>
    </row>
    <row r="31" spans="1:4" x14ac:dyDescent="0.2">
      <c r="A31" t="s">
        <v>193</v>
      </c>
      <c r="B31">
        <v>87</v>
      </c>
      <c r="C31" t="s">
        <v>273</v>
      </c>
      <c r="D31">
        <v>84</v>
      </c>
    </row>
    <row r="32" spans="1:4" x14ac:dyDescent="0.2">
      <c r="A32" t="s">
        <v>193</v>
      </c>
      <c r="B32">
        <v>87</v>
      </c>
      <c r="C32" t="s">
        <v>274</v>
      </c>
      <c r="D32">
        <v>0</v>
      </c>
    </row>
    <row r="33" spans="1:4" x14ac:dyDescent="0.2">
      <c r="A33" t="s">
        <v>193</v>
      </c>
      <c r="B33">
        <v>87</v>
      </c>
      <c r="C33" t="s">
        <v>275</v>
      </c>
      <c r="D33">
        <v>87</v>
      </c>
    </row>
    <row r="34" spans="1:4" x14ac:dyDescent="0.2">
      <c r="A34" t="s">
        <v>193</v>
      </c>
      <c r="B34">
        <v>87</v>
      </c>
      <c r="C34" t="s">
        <v>276</v>
      </c>
      <c r="D34">
        <v>1</v>
      </c>
    </row>
    <row r="35" spans="1:4" x14ac:dyDescent="0.2">
      <c r="A35" t="s">
        <v>193</v>
      </c>
      <c r="B35">
        <v>87</v>
      </c>
      <c r="C35" t="s">
        <v>277</v>
      </c>
      <c r="D35">
        <v>86</v>
      </c>
    </row>
    <row r="36" spans="1:4" x14ac:dyDescent="0.2">
      <c r="A36" t="s">
        <v>193</v>
      </c>
      <c r="B36">
        <v>87</v>
      </c>
      <c r="C36" t="s">
        <v>278</v>
      </c>
      <c r="D36">
        <v>87</v>
      </c>
    </row>
    <row r="37" spans="1:4" x14ac:dyDescent="0.2">
      <c r="A37" t="s">
        <v>193</v>
      </c>
      <c r="B37">
        <v>87</v>
      </c>
      <c r="C37" t="s">
        <v>279</v>
      </c>
      <c r="D37">
        <v>0</v>
      </c>
    </row>
    <row r="38" spans="1:4" x14ac:dyDescent="0.2">
      <c r="A38" t="s">
        <v>193</v>
      </c>
      <c r="B38">
        <v>87</v>
      </c>
      <c r="C38" t="s">
        <v>280</v>
      </c>
      <c r="D38">
        <v>86</v>
      </c>
    </row>
    <row r="39" spans="1:4" x14ac:dyDescent="0.2">
      <c r="A39" t="s">
        <v>193</v>
      </c>
      <c r="B39">
        <v>87</v>
      </c>
      <c r="C39" t="s">
        <v>281</v>
      </c>
      <c r="D39">
        <v>1</v>
      </c>
    </row>
    <row r="40" spans="1:4" x14ac:dyDescent="0.2">
      <c r="A40" t="s">
        <v>193</v>
      </c>
      <c r="B40">
        <v>87</v>
      </c>
      <c r="C40" t="s">
        <v>282</v>
      </c>
      <c r="D40">
        <v>0</v>
      </c>
    </row>
    <row r="41" spans="1:4" x14ac:dyDescent="0.2">
      <c r="A41" t="s">
        <v>193</v>
      </c>
      <c r="B41">
        <v>87</v>
      </c>
      <c r="C41" t="s">
        <v>283</v>
      </c>
      <c r="D41">
        <v>87</v>
      </c>
    </row>
    <row r="42" spans="1:4" x14ac:dyDescent="0.2">
      <c r="A42" t="s">
        <v>193</v>
      </c>
      <c r="B42">
        <v>87</v>
      </c>
      <c r="C42" t="s">
        <v>284</v>
      </c>
      <c r="D42">
        <v>0</v>
      </c>
    </row>
    <row r="43" spans="1:4" x14ac:dyDescent="0.2">
      <c r="A43" t="s">
        <v>193</v>
      </c>
      <c r="B43">
        <v>87</v>
      </c>
      <c r="C43" t="s">
        <v>19</v>
      </c>
      <c r="D43">
        <v>82</v>
      </c>
    </row>
    <row r="44" spans="1:4" x14ac:dyDescent="0.2">
      <c r="A44" t="s">
        <v>197</v>
      </c>
      <c r="B44">
        <v>61</v>
      </c>
      <c r="C44" t="s">
        <v>272</v>
      </c>
      <c r="D44">
        <v>0</v>
      </c>
    </row>
    <row r="45" spans="1:4" x14ac:dyDescent="0.2">
      <c r="A45" t="s">
        <v>197</v>
      </c>
      <c r="B45">
        <v>61</v>
      </c>
      <c r="C45" t="s">
        <v>273</v>
      </c>
      <c r="D45">
        <v>61</v>
      </c>
    </row>
    <row r="46" spans="1:4" x14ac:dyDescent="0.2">
      <c r="A46" t="s">
        <v>197</v>
      </c>
      <c r="B46">
        <v>61</v>
      </c>
      <c r="C46" t="s">
        <v>274</v>
      </c>
      <c r="D46">
        <v>0</v>
      </c>
    </row>
    <row r="47" spans="1:4" x14ac:dyDescent="0.2">
      <c r="A47" t="s">
        <v>197</v>
      </c>
      <c r="B47">
        <v>61</v>
      </c>
      <c r="C47" t="s">
        <v>275</v>
      </c>
      <c r="D47">
        <v>61</v>
      </c>
    </row>
    <row r="48" spans="1:4" x14ac:dyDescent="0.2">
      <c r="A48" t="s">
        <v>197</v>
      </c>
      <c r="B48">
        <v>61</v>
      </c>
      <c r="C48" t="s">
        <v>276</v>
      </c>
      <c r="D48">
        <v>0</v>
      </c>
    </row>
    <row r="49" spans="1:4" x14ac:dyDescent="0.2">
      <c r="A49" t="s">
        <v>197</v>
      </c>
      <c r="B49">
        <v>61</v>
      </c>
      <c r="C49" t="s">
        <v>277</v>
      </c>
      <c r="D49">
        <v>61</v>
      </c>
    </row>
    <row r="50" spans="1:4" x14ac:dyDescent="0.2">
      <c r="A50" t="s">
        <v>197</v>
      </c>
      <c r="B50">
        <v>61</v>
      </c>
      <c r="C50" t="s">
        <v>278</v>
      </c>
      <c r="D50">
        <v>61</v>
      </c>
    </row>
    <row r="51" spans="1:4" x14ac:dyDescent="0.2">
      <c r="A51" t="s">
        <v>197</v>
      </c>
      <c r="B51">
        <v>61</v>
      </c>
      <c r="C51" t="s">
        <v>279</v>
      </c>
      <c r="D51">
        <v>0</v>
      </c>
    </row>
    <row r="52" spans="1:4" x14ac:dyDescent="0.2">
      <c r="A52" t="s">
        <v>197</v>
      </c>
      <c r="B52">
        <v>61</v>
      </c>
      <c r="C52" t="s">
        <v>280</v>
      </c>
      <c r="D52">
        <v>60</v>
      </c>
    </row>
    <row r="53" spans="1:4" x14ac:dyDescent="0.2">
      <c r="A53" t="s">
        <v>197</v>
      </c>
      <c r="B53">
        <v>61</v>
      </c>
      <c r="C53" t="s">
        <v>281</v>
      </c>
      <c r="D53">
        <v>1</v>
      </c>
    </row>
    <row r="54" spans="1:4" x14ac:dyDescent="0.2">
      <c r="A54" t="s">
        <v>197</v>
      </c>
      <c r="B54">
        <v>61</v>
      </c>
      <c r="C54" t="s">
        <v>282</v>
      </c>
      <c r="D54">
        <v>2</v>
      </c>
    </row>
    <row r="55" spans="1:4" x14ac:dyDescent="0.2">
      <c r="A55" t="s">
        <v>197</v>
      </c>
      <c r="B55">
        <v>61</v>
      </c>
      <c r="C55" t="s">
        <v>283</v>
      </c>
      <c r="D55">
        <v>59</v>
      </c>
    </row>
    <row r="56" spans="1:4" x14ac:dyDescent="0.2">
      <c r="A56" t="s">
        <v>197</v>
      </c>
      <c r="B56">
        <v>61</v>
      </c>
      <c r="C56" t="s">
        <v>284</v>
      </c>
      <c r="D56">
        <v>0</v>
      </c>
    </row>
    <row r="57" spans="1:4" x14ac:dyDescent="0.2">
      <c r="A57" t="s">
        <v>197</v>
      </c>
      <c r="B57">
        <v>61</v>
      </c>
      <c r="C57" t="s">
        <v>19</v>
      </c>
      <c r="D57">
        <v>58</v>
      </c>
    </row>
    <row r="58" spans="1:4" x14ac:dyDescent="0.2">
      <c r="A58" t="s">
        <v>200</v>
      </c>
      <c r="B58">
        <v>76</v>
      </c>
      <c r="C58" t="s">
        <v>272</v>
      </c>
      <c r="D58">
        <v>0</v>
      </c>
    </row>
    <row r="59" spans="1:4" x14ac:dyDescent="0.2">
      <c r="A59" t="s">
        <v>200</v>
      </c>
      <c r="B59">
        <v>76</v>
      </c>
      <c r="C59" t="s">
        <v>273</v>
      </c>
      <c r="D59">
        <v>76</v>
      </c>
    </row>
    <row r="60" spans="1:4" x14ac:dyDescent="0.2">
      <c r="A60" t="s">
        <v>200</v>
      </c>
      <c r="B60">
        <v>76</v>
      </c>
      <c r="C60" t="s">
        <v>274</v>
      </c>
      <c r="D60">
        <v>0</v>
      </c>
    </row>
    <row r="61" spans="1:4" x14ac:dyDescent="0.2">
      <c r="A61" t="s">
        <v>200</v>
      </c>
      <c r="B61">
        <v>76</v>
      </c>
      <c r="C61" t="s">
        <v>275</v>
      </c>
      <c r="D61">
        <v>76</v>
      </c>
    </row>
    <row r="62" spans="1:4" x14ac:dyDescent="0.2">
      <c r="A62" t="s">
        <v>200</v>
      </c>
      <c r="B62">
        <v>76</v>
      </c>
      <c r="C62" t="s">
        <v>276</v>
      </c>
      <c r="D62">
        <v>0</v>
      </c>
    </row>
    <row r="63" spans="1:4" x14ac:dyDescent="0.2">
      <c r="A63" t="s">
        <v>200</v>
      </c>
      <c r="B63">
        <v>76</v>
      </c>
      <c r="C63" t="s">
        <v>277</v>
      </c>
      <c r="D63">
        <v>76</v>
      </c>
    </row>
    <row r="64" spans="1:4" x14ac:dyDescent="0.2">
      <c r="A64" t="s">
        <v>200</v>
      </c>
      <c r="B64">
        <v>76</v>
      </c>
      <c r="C64" t="s">
        <v>278</v>
      </c>
      <c r="D64">
        <v>76</v>
      </c>
    </row>
    <row r="65" spans="1:4" x14ac:dyDescent="0.2">
      <c r="A65" t="s">
        <v>200</v>
      </c>
      <c r="B65">
        <v>76</v>
      </c>
      <c r="C65" t="s">
        <v>279</v>
      </c>
      <c r="D65">
        <v>0</v>
      </c>
    </row>
    <row r="66" spans="1:4" x14ac:dyDescent="0.2">
      <c r="A66" t="s">
        <v>200</v>
      </c>
      <c r="B66">
        <v>76</v>
      </c>
      <c r="C66" t="s">
        <v>280</v>
      </c>
      <c r="D66">
        <v>75</v>
      </c>
    </row>
    <row r="67" spans="1:4" x14ac:dyDescent="0.2">
      <c r="A67" t="s">
        <v>200</v>
      </c>
      <c r="B67">
        <v>76</v>
      </c>
      <c r="C67" t="s">
        <v>281</v>
      </c>
      <c r="D67">
        <v>1</v>
      </c>
    </row>
    <row r="68" spans="1:4" x14ac:dyDescent="0.2">
      <c r="A68" t="s">
        <v>200</v>
      </c>
      <c r="B68">
        <v>76</v>
      </c>
      <c r="C68" t="s">
        <v>282</v>
      </c>
      <c r="D68">
        <v>10</v>
      </c>
    </row>
    <row r="69" spans="1:4" x14ac:dyDescent="0.2">
      <c r="A69" t="s">
        <v>200</v>
      </c>
      <c r="B69">
        <v>76</v>
      </c>
      <c r="C69" t="s">
        <v>283</v>
      </c>
      <c r="D69">
        <v>66</v>
      </c>
    </row>
    <row r="70" spans="1:4" x14ac:dyDescent="0.2">
      <c r="A70" t="s">
        <v>200</v>
      </c>
      <c r="B70">
        <v>76</v>
      </c>
      <c r="C70" t="s">
        <v>284</v>
      </c>
      <c r="D70">
        <v>0</v>
      </c>
    </row>
    <row r="71" spans="1:4" x14ac:dyDescent="0.2">
      <c r="A71" t="s">
        <v>200</v>
      </c>
      <c r="B71">
        <v>76</v>
      </c>
      <c r="C71" t="s">
        <v>19</v>
      </c>
      <c r="D71">
        <v>65</v>
      </c>
    </row>
    <row r="72" spans="1:4" x14ac:dyDescent="0.2">
      <c r="A72" t="s">
        <v>203</v>
      </c>
      <c r="B72">
        <v>28</v>
      </c>
      <c r="C72" t="s">
        <v>272</v>
      </c>
      <c r="D72">
        <v>0</v>
      </c>
    </row>
    <row r="73" spans="1:4" x14ac:dyDescent="0.2">
      <c r="A73" t="s">
        <v>203</v>
      </c>
      <c r="B73">
        <v>28</v>
      </c>
      <c r="C73" t="s">
        <v>273</v>
      </c>
      <c r="D73">
        <v>28</v>
      </c>
    </row>
    <row r="74" spans="1:4" x14ac:dyDescent="0.2">
      <c r="A74" t="s">
        <v>203</v>
      </c>
      <c r="B74">
        <v>28</v>
      </c>
      <c r="C74" t="s">
        <v>274</v>
      </c>
      <c r="D74">
        <v>0</v>
      </c>
    </row>
    <row r="75" spans="1:4" x14ac:dyDescent="0.2">
      <c r="A75" t="s">
        <v>203</v>
      </c>
      <c r="B75">
        <v>28</v>
      </c>
      <c r="C75" t="s">
        <v>275</v>
      </c>
      <c r="D75">
        <v>28</v>
      </c>
    </row>
    <row r="76" spans="1:4" x14ac:dyDescent="0.2">
      <c r="A76" t="s">
        <v>203</v>
      </c>
      <c r="B76">
        <v>28</v>
      </c>
      <c r="C76" t="s">
        <v>276</v>
      </c>
      <c r="D76">
        <v>0</v>
      </c>
    </row>
    <row r="77" spans="1:4" x14ac:dyDescent="0.2">
      <c r="A77" t="s">
        <v>203</v>
      </c>
      <c r="B77">
        <v>28</v>
      </c>
      <c r="C77" t="s">
        <v>277</v>
      </c>
      <c r="D77">
        <v>28</v>
      </c>
    </row>
    <row r="78" spans="1:4" x14ac:dyDescent="0.2">
      <c r="A78" t="s">
        <v>203</v>
      </c>
      <c r="B78">
        <v>28</v>
      </c>
      <c r="C78" t="s">
        <v>278</v>
      </c>
      <c r="D78">
        <v>28</v>
      </c>
    </row>
    <row r="79" spans="1:4" x14ac:dyDescent="0.2">
      <c r="A79" t="s">
        <v>203</v>
      </c>
      <c r="B79">
        <v>28</v>
      </c>
      <c r="C79" t="s">
        <v>279</v>
      </c>
      <c r="D79">
        <v>0</v>
      </c>
    </row>
    <row r="80" spans="1:4" x14ac:dyDescent="0.2">
      <c r="A80" t="s">
        <v>203</v>
      </c>
      <c r="B80">
        <v>28</v>
      </c>
      <c r="C80" t="s">
        <v>280</v>
      </c>
      <c r="D80">
        <v>28</v>
      </c>
    </row>
    <row r="81" spans="1:4" x14ac:dyDescent="0.2">
      <c r="A81" t="s">
        <v>203</v>
      </c>
      <c r="B81">
        <v>28</v>
      </c>
      <c r="C81" t="s">
        <v>281</v>
      </c>
      <c r="D81">
        <v>0</v>
      </c>
    </row>
    <row r="82" spans="1:4" x14ac:dyDescent="0.2">
      <c r="A82" t="s">
        <v>203</v>
      </c>
      <c r="B82">
        <v>28</v>
      </c>
      <c r="C82" t="s">
        <v>282</v>
      </c>
      <c r="D82">
        <v>1</v>
      </c>
    </row>
    <row r="83" spans="1:4" x14ac:dyDescent="0.2">
      <c r="A83" t="s">
        <v>203</v>
      </c>
      <c r="B83">
        <v>28</v>
      </c>
      <c r="C83" t="s">
        <v>283</v>
      </c>
      <c r="D83">
        <v>27</v>
      </c>
    </row>
    <row r="84" spans="1:4" x14ac:dyDescent="0.2">
      <c r="A84" t="s">
        <v>203</v>
      </c>
      <c r="B84">
        <v>28</v>
      </c>
      <c r="C84" t="s">
        <v>284</v>
      </c>
      <c r="D84">
        <v>0</v>
      </c>
    </row>
    <row r="85" spans="1:4" x14ac:dyDescent="0.2">
      <c r="A85" t="s">
        <v>203</v>
      </c>
      <c r="B85">
        <v>28</v>
      </c>
      <c r="C85" t="s">
        <v>19</v>
      </c>
      <c r="D85">
        <v>27</v>
      </c>
    </row>
    <row r="86" spans="1:4" x14ac:dyDescent="0.2">
      <c r="A86" t="s">
        <v>206</v>
      </c>
      <c r="B86">
        <v>80</v>
      </c>
      <c r="C86" t="s">
        <v>272</v>
      </c>
      <c r="D86">
        <v>0</v>
      </c>
    </row>
    <row r="87" spans="1:4" x14ac:dyDescent="0.2">
      <c r="A87" t="s">
        <v>206</v>
      </c>
      <c r="B87">
        <v>80</v>
      </c>
      <c r="C87" t="s">
        <v>273</v>
      </c>
      <c r="D87">
        <v>80</v>
      </c>
    </row>
    <row r="88" spans="1:4" x14ac:dyDescent="0.2">
      <c r="A88" t="s">
        <v>206</v>
      </c>
      <c r="B88">
        <v>80</v>
      </c>
      <c r="C88" t="s">
        <v>274</v>
      </c>
      <c r="D88">
        <v>0</v>
      </c>
    </row>
    <row r="89" spans="1:4" x14ac:dyDescent="0.2">
      <c r="A89" t="s">
        <v>206</v>
      </c>
      <c r="B89">
        <v>80</v>
      </c>
      <c r="C89" t="s">
        <v>275</v>
      </c>
      <c r="D89">
        <v>80</v>
      </c>
    </row>
    <row r="90" spans="1:4" x14ac:dyDescent="0.2">
      <c r="A90" t="s">
        <v>206</v>
      </c>
      <c r="B90">
        <v>80</v>
      </c>
      <c r="C90" t="s">
        <v>276</v>
      </c>
      <c r="D90">
        <v>1</v>
      </c>
    </row>
    <row r="91" spans="1:4" x14ac:dyDescent="0.2">
      <c r="A91" t="s">
        <v>206</v>
      </c>
      <c r="B91">
        <v>80</v>
      </c>
      <c r="C91" t="s">
        <v>277</v>
      </c>
      <c r="D91">
        <v>79</v>
      </c>
    </row>
    <row r="92" spans="1:4" x14ac:dyDescent="0.2">
      <c r="A92" t="s">
        <v>206</v>
      </c>
      <c r="B92">
        <v>80</v>
      </c>
      <c r="C92" t="s">
        <v>278</v>
      </c>
      <c r="D92">
        <v>80</v>
      </c>
    </row>
    <row r="93" spans="1:4" x14ac:dyDescent="0.2">
      <c r="A93" t="s">
        <v>206</v>
      </c>
      <c r="B93">
        <v>80</v>
      </c>
      <c r="C93" t="s">
        <v>279</v>
      </c>
      <c r="D93">
        <v>0</v>
      </c>
    </row>
    <row r="94" spans="1:4" x14ac:dyDescent="0.2">
      <c r="A94" t="s">
        <v>206</v>
      </c>
      <c r="B94">
        <v>80</v>
      </c>
      <c r="C94" t="s">
        <v>280</v>
      </c>
      <c r="D94">
        <v>76</v>
      </c>
    </row>
    <row r="95" spans="1:4" x14ac:dyDescent="0.2">
      <c r="A95" t="s">
        <v>206</v>
      </c>
      <c r="B95">
        <v>80</v>
      </c>
      <c r="C95" t="s">
        <v>281</v>
      </c>
      <c r="D95">
        <v>4</v>
      </c>
    </row>
    <row r="96" spans="1:4" x14ac:dyDescent="0.2">
      <c r="A96" t="s">
        <v>206</v>
      </c>
      <c r="B96">
        <v>80</v>
      </c>
      <c r="C96" t="s">
        <v>282</v>
      </c>
      <c r="D96">
        <v>6</v>
      </c>
    </row>
    <row r="97" spans="1:4" x14ac:dyDescent="0.2">
      <c r="A97" t="s">
        <v>206</v>
      </c>
      <c r="B97">
        <v>80</v>
      </c>
      <c r="C97" t="s">
        <v>283</v>
      </c>
      <c r="D97">
        <v>73</v>
      </c>
    </row>
    <row r="98" spans="1:4" x14ac:dyDescent="0.2">
      <c r="A98" t="s">
        <v>206</v>
      </c>
      <c r="B98">
        <v>80</v>
      </c>
      <c r="C98" t="s">
        <v>284</v>
      </c>
      <c r="D98">
        <v>1</v>
      </c>
    </row>
    <row r="99" spans="1:4" x14ac:dyDescent="0.2">
      <c r="A99" t="s">
        <v>206</v>
      </c>
      <c r="B99">
        <v>80</v>
      </c>
      <c r="C99" t="s">
        <v>19</v>
      </c>
      <c r="D99">
        <v>68</v>
      </c>
    </row>
    <row r="100" spans="1:4" x14ac:dyDescent="0.2">
      <c r="A100" t="s">
        <v>210</v>
      </c>
      <c r="B100">
        <v>38</v>
      </c>
      <c r="C100" t="s">
        <v>272</v>
      </c>
      <c r="D100">
        <v>0</v>
      </c>
    </row>
    <row r="101" spans="1:4" x14ac:dyDescent="0.2">
      <c r="A101" t="s">
        <v>210</v>
      </c>
      <c r="B101">
        <v>38</v>
      </c>
      <c r="C101" t="s">
        <v>273</v>
      </c>
      <c r="D101">
        <v>38</v>
      </c>
    </row>
    <row r="102" spans="1:4" x14ac:dyDescent="0.2">
      <c r="A102" t="s">
        <v>210</v>
      </c>
      <c r="B102">
        <v>38</v>
      </c>
      <c r="C102" t="s">
        <v>274</v>
      </c>
      <c r="D102">
        <v>0</v>
      </c>
    </row>
    <row r="103" spans="1:4" x14ac:dyDescent="0.2">
      <c r="A103" t="s">
        <v>210</v>
      </c>
      <c r="B103">
        <v>38</v>
      </c>
      <c r="C103" t="s">
        <v>275</v>
      </c>
      <c r="D103">
        <v>38</v>
      </c>
    </row>
    <row r="104" spans="1:4" x14ac:dyDescent="0.2">
      <c r="A104" t="s">
        <v>210</v>
      </c>
      <c r="B104">
        <v>38</v>
      </c>
      <c r="C104" t="s">
        <v>276</v>
      </c>
      <c r="D104">
        <v>0</v>
      </c>
    </row>
    <row r="105" spans="1:4" x14ac:dyDescent="0.2">
      <c r="A105" t="s">
        <v>210</v>
      </c>
      <c r="B105">
        <v>38</v>
      </c>
      <c r="C105" t="s">
        <v>277</v>
      </c>
      <c r="D105">
        <v>38</v>
      </c>
    </row>
    <row r="106" spans="1:4" x14ac:dyDescent="0.2">
      <c r="A106" t="s">
        <v>210</v>
      </c>
      <c r="B106">
        <v>38</v>
      </c>
      <c r="C106" t="s">
        <v>278</v>
      </c>
      <c r="D106">
        <v>38</v>
      </c>
    </row>
    <row r="107" spans="1:4" x14ac:dyDescent="0.2">
      <c r="A107" t="s">
        <v>210</v>
      </c>
      <c r="B107">
        <v>38</v>
      </c>
      <c r="C107" t="s">
        <v>279</v>
      </c>
      <c r="D107">
        <v>0</v>
      </c>
    </row>
    <row r="108" spans="1:4" x14ac:dyDescent="0.2">
      <c r="A108" t="s">
        <v>210</v>
      </c>
      <c r="B108">
        <v>38</v>
      </c>
      <c r="C108" t="s">
        <v>280</v>
      </c>
      <c r="D108">
        <v>37</v>
      </c>
    </row>
    <row r="109" spans="1:4" x14ac:dyDescent="0.2">
      <c r="A109" t="s">
        <v>210</v>
      </c>
      <c r="B109">
        <v>38</v>
      </c>
      <c r="C109" t="s">
        <v>281</v>
      </c>
      <c r="D109">
        <v>1</v>
      </c>
    </row>
    <row r="110" spans="1:4" x14ac:dyDescent="0.2">
      <c r="A110" t="s">
        <v>210</v>
      </c>
      <c r="B110">
        <v>38</v>
      </c>
      <c r="C110" t="s">
        <v>282</v>
      </c>
      <c r="D110">
        <v>0</v>
      </c>
    </row>
    <row r="111" spans="1:4" x14ac:dyDescent="0.2">
      <c r="A111" t="s">
        <v>210</v>
      </c>
      <c r="B111">
        <v>38</v>
      </c>
      <c r="C111" t="s">
        <v>283</v>
      </c>
      <c r="D111">
        <v>38</v>
      </c>
    </row>
    <row r="112" spans="1:4" x14ac:dyDescent="0.2">
      <c r="A112" t="s">
        <v>210</v>
      </c>
      <c r="B112">
        <v>38</v>
      </c>
      <c r="C112" t="s">
        <v>284</v>
      </c>
      <c r="D112">
        <v>0</v>
      </c>
    </row>
    <row r="113" spans="1:4" x14ac:dyDescent="0.2">
      <c r="A113" t="s">
        <v>210</v>
      </c>
      <c r="B113">
        <v>38</v>
      </c>
      <c r="C113" t="s">
        <v>19</v>
      </c>
      <c r="D113">
        <v>37</v>
      </c>
    </row>
    <row r="114" spans="1:4" x14ac:dyDescent="0.2">
      <c r="A114" t="s">
        <v>212</v>
      </c>
      <c r="B114">
        <v>30</v>
      </c>
      <c r="C114" t="s">
        <v>272</v>
      </c>
      <c r="D114">
        <v>0</v>
      </c>
    </row>
    <row r="115" spans="1:4" x14ac:dyDescent="0.2">
      <c r="A115" t="s">
        <v>212</v>
      </c>
      <c r="B115">
        <v>30</v>
      </c>
      <c r="C115" t="s">
        <v>273</v>
      </c>
      <c r="D115">
        <v>30</v>
      </c>
    </row>
    <row r="116" spans="1:4" x14ac:dyDescent="0.2">
      <c r="A116" t="s">
        <v>212</v>
      </c>
      <c r="B116">
        <v>30</v>
      </c>
      <c r="C116" t="s">
        <v>274</v>
      </c>
      <c r="D116">
        <v>0</v>
      </c>
    </row>
    <row r="117" spans="1:4" x14ac:dyDescent="0.2">
      <c r="A117" t="s">
        <v>212</v>
      </c>
      <c r="B117">
        <v>30</v>
      </c>
      <c r="C117" t="s">
        <v>275</v>
      </c>
      <c r="D117">
        <v>30</v>
      </c>
    </row>
    <row r="118" spans="1:4" x14ac:dyDescent="0.2">
      <c r="A118" t="s">
        <v>212</v>
      </c>
      <c r="B118">
        <v>30</v>
      </c>
      <c r="C118" t="s">
        <v>276</v>
      </c>
      <c r="D118">
        <v>0</v>
      </c>
    </row>
    <row r="119" spans="1:4" x14ac:dyDescent="0.2">
      <c r="A119" t="s">
        <v>212</v>
      </c>
      <c r="B119">
        <v>30</v>
      </c>
      <c r="C119" t="s">
        <v>277</v>
      </c>
      <c r="D119">
        <v>30</v>
      </c>
    </row>
    <row r="120" spans="1:4" x14ac:dyDescent="0.2">
      <c r="A120" t="s">
        <v>212</v>
      </c>
      <c r="B120">
        <v>30</v>
      </c>
      <c r="C120" t="s">
        <v>278</v>
      </c>
      <c r="D120">
        <v>30</v>
      </c>
    </row>
    <row r="121" spans="1:4" x14ac:dyDescent="0.2">
      <c r="A121" t="s">
        <v>212</v>
      </c>
      <c r="B121">
        <v>30</v>
      </c>
      <c r="C121" t="s">
        <v>279</v>
      </c>
      <c r="D121">
        <v>0</v>
      </c>
    </row>
    <row r="122" spans="1:4" x14ac:dyDescent="0.2">
      <c r="A122" t="s">
        <v>212</v>
      </c>
      <c r="B122">
        <v>30</v>
      </c>
      <c r="C122" t="s">
        <v>280</v>
      </c>
      <c r="D122">
        <v>30</v>
      </c>
    </row>
    <row r="123" spans="1:4" x14ac:dyDescent="0.2">
      <c r="A123" t="s">
        <v>212</v>
      </c>
      <c r="B123">
        <v>30</v>
      </c>
      <c r="C123" t="s">
        <v>281</v>
      </c>
      <c r="D123">
        <v>0</v>
      </c>
    </row>
    <row r="124" spans="1:4" x14ac:dyDescent="0.2">
      <c r="A124" t="s">
        <v>212</v>
      </c>
      <c r="B124">
        <v>30</v>
      </c>
      <c r="C124" t="s">
        <v>282</v>
      </c>
      <c r="D124">
        <v>6</v>
      </c>
    </row>
    <row r="125" spans="1:4" x14ac:dyDescent="0.2">
      <c r="A125" t="s">
        <v>212</v>
      </c>
      <c r="B125">
        <v>30</v>
      </c>
      <c r="C125" t="s">
        <v>283</v>
      </c>
      <c r="D125">
        <v>24</v>
      </c>
    </row>
    <row r="126" spans="1:4" x14ac:dyDescent="0.2">
      <c r="A126" t="s">
        <v>212</v>
      </c>
      <c r="B126">
        <v>30</v>
      </c>
      <c r="C126" t="s">
        <v>284</v>
      </c>
      <c r="D126">
        <v>0</v>
      </c>
    </row>
    <row r="127" spans="1:4" x14ac:dyDescent="0.2">
      <c r="A127" t="s">
        <v>212</v>
      </c>
      <c r="B127">
        <v>30</v>
      </c>
      <c r="C127" t="s">
        <v>19</v>
      </c>
      <c r="D127">
        <v>24</v>
      </c>
    </row>
    <row r="128" spans="1:4" x14ac:dyDescent="0.2">
      <c r="A128" t="s">
        <v>215</v>
      </c>
      <c r="B128">
        <v>70</v>
      </c>
      <c r="C128" t="s">
        <v>272</v>
      </c>
      <c r="D128">
        <v>0</v>
      </c>
    </row>
    <row r="129" spans="1:4" x14ac:dyDescent="0.2">
      <c r="A129" t="s">
        <v>215</v>
      </c>
      <c r="B129">
        <v>70</v>
      </c>
      <c r="C129" t="s">
        <v>273</v>
      </c>
      <c r="D129">
        <v>70</v>
      </c>
    </row>
    <row r="130" spans="1:4" x14ac:dyDescent="0.2">
      <c r="A130" t="s">
        <v>215</v>
      </c>
      <c r="B130">
        <v>70</v>
      </c>
      <c r="C130" t="s">
        <v>274</v>
      </c>
      <c r="D130">
        <v>0</v>
      </c>
    </row>
    <row r="131" spans="1:4" x14ac:dyDescent="0.2">
      <c r="A131" t="s">
        <v>215</v>
      </c>
      <c r="B131">
        <v>70</v>
      </c>
      <c r="C131" t="s">
        <v>275</v>
      </c>
      <c r="D131">
        <v>70</v>
      </c>
    </row>
    <row r="132" spans="1:4" x14ac:dyDescent="0.2">
      <c r="A132" t="s">
        <v>215</v>
      </c>
      <c r="B132">
        <v>70</v>
      </c>
      <c r="C132" t="s">
        <v>276</v>
      </c>
      <c r="D132">
        <v>0</v>
      </c>
    </row>
    <row r="133" spans="1:4" x14ac:dyDescent="0.2">
      <c r="A133" t="s">
        <v>215</v>
      </c>
      <c r="B133">
        <v>70</v>
      </c>
      <c r="C133" t="s">
        <v>277</v>
      </c>
      <c r="D133">
        <v>70</v>
      </c>
    </row>
    <row r="134" spans="1:4" x14ac:dyDescent="0.2">
      <c r="A134" t="s">
        <v>215</v>
      </c>
      <c r="B134">
        <v>70</v>
      </c>
      <c r="C134" t="s">
        <v>278</v>
      </c>
      <c r="D134">
        <v>70</v>
      </c>
    </row>
    <row r="135" spans="1:4" x14ac:dyDescent="0.2">
      <c r="A135" t="s">
        <v>215</v>
      </c>
      <c r="B135">
        <v>70</v>
      </c>
      <c r="C135" t="s">
        <v>279</v>
      </c>
      <c r="D135">
        <v>0</v>
      </c>
    </row>
    <row r="136" spans="1:4" x14ac:dyDescent="0.2">
      <c r="A136" t="s">
        <v>215</v>
      </c>
      <c r="B136">
        <v>70</v>
      </c>
      <c r="C136" t="s">
        <v>280</v>
      </c>
      <c r="D136">
        <v>70</v>
      </c>
    </row>
    <row r="137" spans="1:4" x14ac:dyDescent="0.2">
      <c r="A137" t="s">
        <v>215</v>
      </c>
      <c r="B137">
        <v>70</v>
      </c>
      <c r="C137" t="s">
        <v>281</v>
      </c>
      <c r="D137">
        <v>0</v>
      </c>
    </row>
    <row r="138" spans="1:4" x14ac:dyDescent="0.2">
      <c r="A138" t="s">
        <v>215</v>
      </c>
      <c r="B138">
        <v>70</v>
      </c>
      <c r="C138" t="s">
        <v>282</v>
      </c>
      <c r="D138">
        <v>0</v>
      </c>
    </row>
    <row r="139" spans="1:4" x14ac:dyDescent="0.2">
      <c r="A139" t="s">
        <v>215</v>
      </c>
      <c r="B139">
        <v>70</v>
      </c>
      <c r="C139" t="s">
        <v>283</v>
      </c>
      <c r="D139">
        <v>70</v>
      </c>
    </row>
    <row r="140" spans="1:4" x14ac:dyDescent="0.2">
      <c r="A140" t="s">
        <v>215</v>
      </c>
      <c r="B140">
        <v>70</v>
      </c>
      <c r="C140" t="s">
        <v>284</v>
      </c>
      <c r="D140">
        <v>0</v>
      </c>
    </row>
    <row r="141" spans="1:4" x14ac:dyDescent="0.2">
      <c r="A141" t="s">
        <v>215</v>
      </c>
      <c r="B141">
        <v>70</v>
      </c>
      <c r="C141" t="s">
        <v>19</v>
      </c>
      <c r="D141">
        <v>70</v>
      </c>
    </row>
    <row r="142" spans="1:4" x14ac:dyDescent="0.2">
      <c r="A142" t="s">
        <v>216</v>
      </c>
      <c r="B142">
        <v>50</v>
      </c>
      <c r="C142" t="s">
        <v>272</v>
      </c>
      <c r="D142">
        <v>0</v>
      </c>
    </row>
    <row r="143" spans="1:4" x14ac:dyDescent="0.2">
      <c r="A143" t="s">
        <v>216</v>
      </c>
      <c r="B143">
        <v>50</v>
      </c>
      <c r="C143" t="s">
        <v>273</v>
      </c>
      <c r="D143">
        <v>50</v>
      </c>
    </row>
    <row r="144" spans="1:4" x14ac:dyDescent="0.2">
      <c r="A144" t="s">
        <v>216</v>
      </c>
      <c r="B144">
        <v>50</v>
      </c>
      <c r="C144" t="s">
        <v>274</v>
      </c>
      <c r="D144">
        <v>0</v>
      </c>
    </row>
    <row r="145" spans="1:4" x14ac:dyDescent="0.2">
      <c r="A145" t="s">
        <v>216</v>
      </c>
      <c r="B145">
        <v>50</v>
      </c>
      <c r="C145" t="s">
        <v>275</v>
      </c>
      <c r="D145">
        <v>50</v>
      </c>
    </row>
    <row r="146" spans="1:4" x14ac:dyDescent="0.2">
      <c r="A146" t="s">
        <v>216</v>
      </c>
      <c r="B146">
        <v>50</v>
      </c>
      <c r="C146" t="s">
        <v>276</v>
      </c>
      <c r="D146">
        <v>0</v>
      </c>
    </row>
    <row r="147" spans="1:4" x14ac:dyDescent="0.2">
      <c r="A147" t="s">
        <v>216</v>
      </c>
      <c r="B147">
        <v>50</v>
      </c>
      <c r="C147" t="s">
        <v>277</v>
      </c>
      <c r="D147">
        <v>50</v>
      </c>
    </row>
    <row r="148" spans="1:4" x14ac:dyDescent="0.2">
      <c r="A148" t="s">
        <v>216</v>
      </c>
      <c r="B148">
        <v>50</v>
      </c>
      <c r="C148" t="s">
        <v>278</v>
      </c>
      <c r="D148">
        <v>50</v>
      </c>
    </row>
    <row r="149" spans="1:4" x14ac:dyDescent="0.2">
      <c r="A149" t="s">
        <v>216</v>
      </c>
      <c r="B149">
        <v>50</v>
      </c>
      <c r="C149" t="s">
        <v>279</v>
      </c>
      <c r="D149">
        <v>0</v>
      </c>
    </row>
    <row r="150" spans="1:4" x14ac:dyDescent="0.2">
      <c r="A150" t="s">
        <v>216</v>
      </c>
      <c r="B150">
        <v>50</v>
      </c>
      <c r="C150" t="s">
        <v>280</v>
      </c>
      <c r="D150">
        <v>50</v>
      </c>
    </row>
    <row r="151" spans="1:4" x14ac:dyDescent="0.2">
      <c r="A151" t="s">
        <v>216</v>
      </c>
      <c r="B151">
        <v>50</v>
      </c>
      <c r="C151" t="s">
        <v>281</v>
      </c>
      <c r="D151">
        <v>0</v>
      </c>
    </row>
    <row r="152" spans="1:4" x14ac:dyDescent="0.2">
      <c r="A152" t="s">
        <v>216</v>
      </c>
      <c r="B152">
        <v>50</v>
      </c>
      <c r="C152" t="s">
        <v>282</v>
      </c>
      <c r="D152">
        <v>0</v>
      </c>
    </row>
    <row r="153" spans="1:4" x14ac:dyDescent="0.2">
      <c r="A153" t="s">
        <v>216</v>
      </c>
      <c r="B153">
        <v>50</v>
      </c>
      <c r="C153" t="s">
        <v>283</v>
      </c>
      <c r="D153">
        <v>50</v>
      </c>
    </row>
    <row r="154" spans="1:4" x14ac:dyDescent="0.2">
      <c r="A154" t="s">
        <v>216</v>
      </c>
      <c r="B154">
        <v>50</v>
      </c>
      <c r="C154" t="s">
        <v>284</v>
      </c>
      <c r="D154">
        <v>0</v>
      </c>
    </row>
    <row r="155" spans="1:4" x14ac:dyDescent="0.2">
      <c r="A155" t="s">
        <v>216</v>
      </c>
      <c r="B155">
        <v>50</v>
      </c>
      <c r="C155" t="s">
        <v>19</v>
      </c>
      <c r="D155">
        <v>50</v>
      </c>
    </row>
    <row r="156" spans="1:4" x14ac:dyDescent="0.2">
      <c r="A156" t="s">
        <v>217</v>
      </c>
      <c r="B156">
        <v>25</v>
      </c>
      <c r="C156" t="s">
        <v>272</v>
      </c>
      <c r="D156">
        <v>1</v>
      </c>
    </row>
    <row r="157" spans="1:4" x14ac:dyDescent="0.2">
      <c r="A157" t="s">
        <v>217</v>
      </c>
      <c r="B157">
        <v>25</v>
      </c>
      <c r="C157" t="s">
        <v>273</v>
      </c>
      <c r="D157">
        <v>24</v>
      </c>
    </row>
    <row r="158" spans="1:4" x14ac:dyDescent="0.2">
      <c r="A158" t="s">
        <v>217</v>
      </c>
      <c r="B158">
        <v>25</v>
      </c>
      <c r="C158" t="s">
        <v>274</v>
      </c>
      <c r="D158">
        <v>0</v>
      </c>
    </row>
    <row r="159" spans="1:4" x14ac:dyDescent="0.2">
      <c r="A159" t="s">
        <v>217</v>
      </c>
      <c r="B159">
        <v>25</v>
      </c>
      <c r="C159" t="s">
        <v>275</v>
      </c>
      <c r="D159">
        <v>25</v>
      </c>
    </row>
    <row r="160" spans="1:4" x14ac:dyDescent="0.2">
      <c r="A160" t="s">
        <v>217</v>
      </c>
      <c r="B160">
        <v>25</v>
      </c>
      <c r="C160" t="s">
        <v>276</v>
      </c>
      <c r="D160">
        <v>0</v>
      </c>
    </row>
    <row r="161" spans="1:4" x14ac:dyDescent="0.2">
      <c r="A161" t="s">
        <v>217</v>
      </c>
      <c r="B161">
        <v>25</v>
      </c>
      <c r="C161" t="s">
        <v>277</v>
      </c>
      <c r="D161">
        <v>25</v>
      </c>
    </row>
    <row r="162" spans="1:4" x14ac:dyDescent="0.2">
      <c r="A162" t="s">
        <v>217</v>
      </c>
      <c r="B162">
        <v>25</v>
      </c>
      <c r="C162" t="s">
        <v>278</v>
      </c>
      <c r="D162">
        <v>25</v>
      </c>
    </row>
    <row r="163" spans="1:4" x14ac:dyDescent="0.2">
      <c r="A163" t="s">
        <v>217</v>
      </c>
      <c r="B163">
        <v>25</v>
      </c>
      <c r="C163" t="s">
        <v>279</v>
      </c>
      <c r="D163">
        <v>0</v>
      </c>
    </row>
    <row r="164" spans="1:4" x14ac:dyDescent="0.2">
      <c r="A164" t="s">
        <v>217</v>
      </c>
      <c r="B164">
        <v>25</v>
      </c>
      <c r="C164" t="s">
        <v>280</v>
      </c>
      <c r="D164">
        <v>23</v>
      </c>
    </row>
    <row r="165" spans="1:4" x14ac:dyDescent="0.2">
      <c r="A165" t="s">
        <v>217</v>
      </c>
      <c r="B165">
        <v>25</v>
      </c>
      <c r="C165" t="s">
        <v>281</v>
      </c>
      <c r="D165">
        <v>2</v>
      </c>
    </row>
    <row r="166" spans="1:4" x14ac:dyDescent="0.2">
      <c r="A166" t="s">
        <v>217</v>
      </c>
      <c r="B166">
        <v>25</v>
      </c>
      <c r="C166" t="s">
        <v>282</v>
      </c>
      <c r="D166">
        <v>0</v>
      </c>
    </row>
    <row r="167" spans="1:4" x14ac:dyDescent="0.2">
      <c r="A167" t="s">
        <v>217</v>
      </c>
      <c r="B167">
        <v>25</v>
      </c>
      <c r="C167" t="s">
        <v>283</v>
      </c>
      <c r="D167">
        <v>24</v>
      </c>
    </row>
    <row r="168" spans="1:4" x14ac:dyDescent="0.2">
      <c r="A168" t="s">
        <v>217</v>
      </c>
      <c r="B168">
        <v>25</v>
      </c>
      <c r="C168" t="s">
        <v>284</v>
      </c>
      <c r="D168">
        <v>1</v>
      </c>
    </row>
    <row r="169" spans="1:4" x14ac:dyDescent="0.2">
      <c r="A169" t="s">
        <v>217</v>
      </c>
      <c r="B169">
        <v>25</v>
      </c>
      <c r="C169" t="s">
        <v>19</v>
      </c>
      <c r="D169">
        <v>21</v>
      </c>
    </row>
    <row r="170" spans="1:4" x14ac:dyDescent="0.2">
      <c r="A170" t="s">
        <v>220</v>
      </c>
      <c r="B170">
        <v>66</v>
      </c>
      <c r="C170" t="s">
        <v>272</v>
      </c>
      <c r="D170">
        <v>0</v>
      </c>
    </row>
    <row r="171" spans="1:4" x14ac:dyDescent="0.2">
      <c r="A171" t="s">
        <v>220</v>
      </c>
      <c r="B171">
        <v>66</v>
      </c>
      <c r="C171" t="s">
        <v>273</v>
      </c>
      <c r="D171">
        <v>66</v>
      </c>
    </row>
    <row r="172" spans="1:4" x14ac:dyDescent="0.2">
      <c r="A172" t="s">
        <v>220</v>
      </c>
      <c r="B172">
        <v>66</v>
      </c>
      <c r="C172" t="s">
        <v>274</v>
      </c>
      <c r="D172">
        <v>0</v>
      </c>
    </row>
    <row r="173" spans="1:4" x14ac:dyDescent="0.2">
      <c r="A173" t="s">
        <v>220</v>
      </c>
      <c r="B173">
        <v>66</v>
      </c>
      <c r="C173" t="s">
        <v>275</v>
      </c>
      <c r="D173">
        <v>66</v>
      </c>
    </row>
    <row r="174" spans="1:4" x14ac:dyDescent="0.2">
      <c r="A174" t="s">
        <v>220</v>
      </c>
      <c r="B174">
        <v>66</v>
      </c>
      <c r="C174" t="s">
        <v>276</v>
      </c>
      <c r="D174">
        <v>0</v>
      </c>
    </row>
    <row r="175" spans="1:4" x14ac:dyDescent="0.2">
      <c r="A175" t="s">
        <v>220</v>
      </c>
      <c r="B175">
        <v>66</v>
      </c>
      <c r="C175" t="s">
        <v>277</v>
      </c>
      <c r="D175">
        <v>66</v>
      </c>
    </row>
    <row r="176" spans="1:4" x14ac:dyDescent="0.2">
      <c r="A176" t="s">
        <v>220</v>
      </c>
      <c r="B176">
        <v>66</v>
      </c>
      <c r="C176" t="s">
        <v>278</v>
      </c>
      <c r="D176">
        <v>66</v>
      </c>
    </row>
    <row r="177" spans="1:4" x14ac:dyDescent="0.2">
      <c r="A177" t="s">
        <v>220</v>
      </c>
      <c r="B177">
        <v>66</v>
      </c>
      <c r="C177" t="s">
        <v>279</v>
      </c>
      <c r="D177">
        <v>0</v>
      </c>
    </row>
    <row r="178" spans="1:4" x14ac:dyDescent="0.2">
      <c r="A178" t="s">
        <v>220</v>
      </c>
      <c r="B178">
        <v>66</v>
      </c>
      <c r="C178" t="s">
        <v>280</v>
      </c>
      <c r="D178">
        <v>66</v>
      </c>
    </row>
    <row r="179" spans="1:4" x14ac:dyDescent="0.2">
      <c r="A179" t="s">
        <v>220</v>
      </c>
      <c r="B179">
        <v>66</v>
      </c>
      <c r="C179" t="s">
        <v>281</v>
      </c>
      <c r="D179">
        <v>0</v>
      </c>
    </row>
    <row r="180" spans="1:4" x14ac:dyDescent="0.2">
      <c r="A180" t="s">
        <v>220</v>
      </c>
      <c r="B180">
        <v>66</v>
      </c>
      <c r="C180" t="s">
        <v>282</v>
      </c>
      <c r="D180">
        <v>0</v>
      </c>
    </row>
    <row r="181" spans="1:4" x14ac:dyDescent="0.2">
      <c r="A181" t="s">
        <v>220</v>
      </c>
      <c r="B181">
        <v>66</v>
      </c>
      <c r="C181" t="s">
        <v>283</v>
      </c>
      <c r="D181">
        <v>66</v>
      </c>
    </row>
    <row r="182" spans="1:4" x14ac:dyDescent="0.2">
      <c r="A182" t="s">
        <v>220</v>
      </c>
      <c r="B182">
        <v>66</v>
      </c>
      <c r="C182" t="s">
        <v>284</v>
      </c>
      <c r="D182">
        <v>0</v>
      </c>
    </row>
    <row r="183" spans="1:4" x14ac:dyDescent="0.2">
      <c r="A183" t="s">
        <v>220</v>
      </c>
      <c r="B183">
        <v>66</v>
      </c>
      <c r="C183" t="s">
        <v>19</v>
      </c>
      <c r="D183">
        <v>66</v>
      </c>
    </row>
    <row r="184" spans="1:4" x14ac:dyDescent="0.2">
      <c r="A184" t="s">
        <v>221</v>
      </c>
      <c r="B184">
        <v>25</v>
      </c>
      <c r="C184" t="s">
        <v>272</v>
      </c>
      <c r="D184">
        <v>0</v>
      </c>
    </row>
    <row r="185" spans="1:4" x14ac:dyDescent="0.2">
      <c r="A185" t="s">
        <v>221</v>
      </c>
      <c r="B185">
        <v>25</v>
      </c>
      <c r="C185" t="s">
        <v>273</v>
      </c>
      <c r="D185">
        <v>25</v>
      </c>
    </row>
    <row r="186" spans="1:4" x14ac:dyDescent="0.2">
      <c r="A186" t="s">
        <v>221</v>
      </c>
      <c r="B186">
        <v>25</v>
      </c>
      <c r="C186" t="s">
        <v>274</v>
      </c>
      <c r="D186">
        <v>0</v>
      </c>
    </row>
    <row r="187" spans="1:4" x14ac:dyDescent="0.2">
      <c r="A187" t="s">
        <v>221</v>
      </c>
      <c r="B187">
        <v>25</v>
      </c>
      <c r="C187" t="s">
        <v>275</v>
      </c>
      <c r="D187">
        <v>25</v>
      </c>
    </row>
    <row r="188" spans="1:4" x14ac:dyDescent="0.2">
      <c r="A188" t="s">
        <v>221</v>
      </c>
      <c r="B188">
        <v>25</v>
      </c>
      <c r="C188" t="s">
        <v>276</v>
      </c>
      <c r="D188">
        <v>0</v>
      </c>
    </row>
    <row r="189" spans="1:4" x14ac:dyDescent="0.2">
      <c r="A189" t="s">
        <v>221</v>
      </c>
      <c r="B189">
        <v>25</v>
      </c>
      <c r="C189" t="s">
        <v>277</v>
      </c>
      <c r="D189">
        <v>25</v>
      </c>
    </row>
    <row r="190" spans="1:4" x14ac:dyDescent="0.2">
      <c r="A190" t="s">
        <v>221</v>
      </c>
      <c r="B190">
        <v>25</v>
      </c>
      <c r="C190" t="s">
        <v>278</v>
      </c>
      <c r="D190">
        <v>25</v>
      </c>
    </row>
    <row r="191" spans="1:4" x14ac:dyDescent="0.2">
      <c r="A191" t="s">
        <v>221</v>
      </c>
      <c r="B191">
        <v>25</v>
      </c>
      <c r="C191" t="s">
        <v>279</v>
      </c>
      <c r="D191">
        <v>0</v>
      </c>
    </row>
    <row r="192" spans="1:4" x14ac:dyDescent="0.2">
      <c r="A192" t="s">
        <v>221</v>
      </c>
      <c r="B192">
        <v>25</v>
      </c>
      <c r="C192" t="s">
        <v>280</v>
      </c>
      <c r="D192">
        <v>25</v>
      </c>
    </row>
    <row r="193" spans="1:4" x14ac:dyDescent="0.2">
      <c r="A193" t="s">
        <v>221</v>
      </c>
      <c r="B193">
        <v>25</v>
      </c>
      <c r="C193" t="s">
        <v>281</v>
      </c>
      <c r="D193">
        <v>0</v>
      </c>
    </row>
    <row r="194" spans="1:4" x14ac:dyDescent="0.2">
      <c r="A194" t="s">
        <v>221</v>
      </c>
      <c r="B194">
        <v>25</v>
      </c>
      <c r="C194" t="s">
        <v>282</v>
      </c>
      <c r="D194">
        <v>0</v>
      </c>
    </row>
    <row r="195" spans="1:4" x14ac:dyDescent="0.2">
      <c r="A195" t="s">
        <v>221</v>
      </c>
      <c r="B195">
        <v>25</v>
      </c>
      <c r="C195" t="s">
        <v>283</v>
      </c>
      <c r="D195">
        <v>25</v>
      </c>
    </row>
    <row r="196" spans="1:4" x14ac:dyDescent="0.2">
      <c r="A196" t="s">
        <v>221</v>
      </c>
      <c r="B196">
        <v>25</v>
      </c>
      <c r="C196" t="s">
        <v>284</v>
      </c>
      <c r="D196">
        <v>0</v>
      </c>
    </row>
    <row r="197" spans="1:4" x14ac:dyDescent="0.2">
      <c r="A197" t="s">
        <v>221</v>
      </c>
      <c r="B197">
        <v>25</v>
      </c>
      <c r="C197" t="s">
        <v>19</v>
      </c>
      <c r="D197">
        <v>25</v>
      </c>
    </row>
    <row r="198" spans="1:4" x14ac:dyDescent="0.2">
      <c r="A198" t="s">
        <v>271</v>
      </c>
      <c r="B198">
        <v>26</v>
      </c>
      <c r="C198" t="s">
        <v>272</v>
      </c>
      <c r="D198">
        <v>0</v>
      </c>
    </row>
    <row r="199" spans="1:4" x14ac:dyDescent="0.2">
      <c r="A199" t="s">
        <v>271</v>
      </c>
      <c r="B199">
        <v>26</v>
      </c>
      <c r="C199" t="s">
        <v>273</v>
      </c>
      <c r="D199">
        <v>26</v>
      </c>
    </row>
    <row r="200" spans="1:4" x14ac:dyDescent="0.2">
      <c r="A200" t="s">
        <v>271</v>
      </c>
      <c r="B200">
        <v>26</v>
      </c>
      <c r="C200" t="s">
        <v>274</v>
      </c>
      <c r="D200">
        <v>0</v>
      </c>
    </row>
    <row r="201" spans="1:4" x14ac:dyDescent="0.2">
      <c r="A201" t="s">
        <v>271</v>
      </c>
      <c r="B201">
        <v>26</v>
      </c>
      <c r="C201" t="s">
        <v>275</v>
      </c>
      <c r="D201">
        <v>26</v>
      </c>
    </row>
    <row r="202" spans="1:4" x14ac:dyDescent="0.2">
      <c r="A202" t="s">
        <v>271</v>
      </c>
      <c r="B202">
        <v>26</v>
      </c>
      <c r="C202" t="s">
        <v>276</v>
      </c>
      <c r="D202">
        <v>0</v>
      </c>
    </row>
    <row r="203" spans="1:4" x14ac:dyDescent="0.2">
      <c r="A203" t="s">
        <v>271</v>
      </c>
      <c r="B203">
        <v>26</v>
      </c>
      <c r="C203" t="s">
        <v>277</v>
      </c>
      <c r="D203">
        <v>26</v>
      </c>
    </row>
    <row r="204" spans="1:4" x14ac:dyDescent="0.2">
      <c r="A204" t="s">
        <v>271</v>
      </c>
      <c r="B204">
        <v>26</v>
      </c>
      <c r="C204" t="s">
        <v>278</v>
      </c>
      <c r="D204">
        <v>26</v>
      </c>
    </row>
    <row r="205" spans="1:4" x14ac:dyDescent="0.2">
      <c r="A205" t="s">
        <v>271</v>
      </c>
      <c r="B205">
        <v>26</v>
      </c>
      <c r="C205" t="s">
        <v>279</v>
      </c>
      <c r="D205">
        <v>0</v>
      </c>
    </row>
    <row r="206" spans="1:4" x14ac:dyDescent="0.2">
      <c r="A206" t="s">
        <v>271</v>
      </c>
      <c r="B206">
        <v>26</v>
      </c>
      <c r="C206" t="s">
        <v>280</v>
      </c>
      <c r="D206">
        <v>26</v>
      </c>
    </row>
    <row r="207" spans="1:4" x14ac:dyDescent="0.2">
      <c r="A207" t="s">
        <v>271</v>
      </c>
      <c r="B207">
        <v>26</v>
      </c>
      <c r="C207" t="s">
        <v>281</v>
      </c>
      <c r="D207">
        <v>0</v>
      </c>
    </row>
    <row r="208" spans="1:4" x14ac:dyDescent="0.2">
      <c r="A208" t="s">
        <v>271</v>
      </c>
      <c r="B208">
        <v>26</v>
      </c>
      <c r="C208" t="s">
        <v>282</v>
      </c>
      <c r="D208">
        <v>0</v>
      </c>
    </row>
    <row r="209" spans="1:4" x14ac:dyDescent="0.2">
      <c r="A209" t="s">
        <v>271</v>
      </c>
      <c r="B209">
        <v>26</v>
      </c>
      <c r="C209" t="s">
        <v>283</v>
      </c>
      <c r="D209">
        <v>26</v>
      </c>
    </row>
    <row r="210" spans="1:4" x14ac:dyDescent="0.2">
      <c r="A210" t="s">
        <v>271</v>
      </c>
      <c r="B210">
        <v>26</v>
      </c>
      <c r="C210" t="s">
        <v>284</v>
      </c>
      <c r="D210">
        <v>0</v>
      </c>
    </row>
    <row r="211" spans="1:4" x14ac:dyDescent="0.2">
      <c r="A211" t="s">
        <v>271</v>
      </c>
      <c r="B211">
        <v>26</v>
      </c>
      <c r="C211" t="s">
        <v>19</v>
      </c>
      <c r="D211">
        <v>26</v>
      </c>
    </row>
    <row r="212" spans="1:4" x14ac:dyDescent="0.2">
      <c r="A212" t="s">
        <v>222</v>
      </c>
      <c r="B212">
        <v>28</v>
      </c>
      <c r="C212" t="s">
        <v>272</v>
      </c>
      <c r="D212">
        <v>0</v>
      </c>
    </row>
    <row r="213" spans="1:4" x14ac:dyDescent="0.2">
      <c r="A213" t="s">
        <v>222</v>
      </c>
      <c r="B213">
        <v>28</v>
      </c>
      <c r="C213" t="s">
        <v>273</v>
      </c>
      <c r="D213">
        <v>28</v>
      </c>
    </row>
    <row r="214" spans="1:4" x14ac:dyDescent="0.2">
      <c r="A214" t="s">
        <v>222</v>
      </c>
      <c r="B214">
        <v>28</v>
      </c>
      <c r="C214" t="s">
        <v>274</v>
      </c>
      <c r="D214">
        <v>0</v>
      </c>
    </row>
    <row r="215" spans="1:4" x14ac:dyDescent="0.2">
      <c r="A215" t="s">
        <v>222</v>
      </c>
      <c r="B215">
        <v>28</v>
      </c>
      <c r="C215" t="s">
        <v>275</v>
      </c>
      <c r="D215">
        <v>28</v>
      </c>
    </row>
    <row r="216" spans="1:4" x14ac:dyDescent="0.2">
      <c r="A216" t="s">
        <v>222</v>
      </c>
      <c r="B216">
        <v>28</v>
      </c>
      <c r="C216" t="s">
        <v>276</v>
      </c>
      <c r="D216">
        <v>0</v>
      </c>
    </row>
    <row r="217" spans="1:4" x14ac:dyDescent="0.2">
      <c r="A217" t="s">
        <v>222</v>
      </c>
      <c r="B217">
        <v>28</v>
      </c>
      <c r="C217" t="s">
        <v>277</v>
      </c>
      <c r="D217">
        <v>28</v>
      </c>
    </row>
    <row r="218" spans="1:4" x14ac:dyDescent="0.2">
      <c r="A218" t="s">
        <v>222</v>
      </c>
      <c r="B218">
        <v>28</v>
      </c>
      <c r="C218" t="s">
        <v>278</v>
      </c>
      <c r="D218">
        <v>28</v>
      </c>
    </row>
    <row r="219" spans="1:4" x14ac:dyDescent="0.2">
      <c r="A219" t="s">
        <v>222</v>
      </c>
      <c r="B219">
        <v>28</v>
      </c>
      <c r="C219" t="s">
        <v>279</v>
      </c>
      <c r="D219">
        <v>0</v>
      </c>
    </row>
    <row r="220" spans="1:4" x14ac:dyDescent="0.2">
      <c r="A220" t="s">
        <v>222</v>
      </c>
      <c r="B220">
        <v>28</v>
      </c>
      <c r="C220" t="s">
        <v>280</v>
      </c>
      <c r="D220">
        <v>28</v>
      </c>
    </row>
    <row r="221" spans="1:4" x14ac:dyDescent="0.2">
      <c r="A221" t="s">
        <v>222</v>
      </c>
      <c r="B221">
        <v>28</v>
      </c>
      <c r="C221" t="s">
        <v>281</v>
      </c>
      <c r="D221">
        <v>0</v>
      </c>
    </row>
    <row r="222" spans="1:4" x14ac:dyDescent="0.2">
      <c r="A222" t="s">
        <v>222</v>
      </c>
      <c r="B222">
        <v>28</v>
      </c>
      <c r="C222" t="s">
        <v>282</v>
      </c>
      <c r="D222">
        <v>0</v>
      </c>
    </row>
    <row r="223" spans="1:4" x14ac:dyDescent="0.2">
      <c r="A223" t="s">
        <v>222</v>
      </c>
      <c r="B223">
        <v>28</v>
      </c>
      <c r="C223" t="s">
        <v>283</v>
      </c>
      <c r="D223">
        <v>28</v>
      </c>
    </row>
    <row r="224" spans="1:4" x14ac:dyDescent="0.2">
      <c r="A224" t="s">
        <v>222</v>
      </c>
      <c r="B224">
        <v>28</v>
      </c>
      <c r="C224" t="s">
        <v>284</v>
      </c>
      <c r="D224">
        <v>0</v>
      </c>
    </row>
    <row r="225" spans="1:4" x14ac:dyDescent="0.2">
      <c r="A225" t="s">
        <v>222</v>
      </c>
      <c r="B225">
        <v>28</v>
      </c>
      <c r="C225" t="s">
        <v>19</v>
      </c>
      <c r="D225">
        <v>28</v>
      </c>
    </row>
    <row r="226" spans="1:4" x14ac:dyDescent="0.2">
      <c r="A226" t="s">
        <v>223</v>
      </c>
      <c r="B226">
        <v>55</v>
      </c>
      <c r="C226" t="s">
        <v>272</v>
      </c>
      <c r="D226">
        <v>0</v>
      </c>
    </row>
    <row r="227" spans="1:4" x14ac:dyDescent="0.2">
      <c r="A227" t="s">
        <v>223</v>
      </c>
      <c r="B227">
        <v>55</v>
      </c>
      <c r="C227" t="s">
        <v>273</v>
      </c>
      <c r="D227">
        <v>55</v>
      </c>
    </row>
    <row r="228" spans="1:4" x14ac:dyDescent="0.2">
      <c r="A228" t="s">
        <v>223</v>
      </c>
      <c r="B228">
        <v>55</v>
      </c>
      <c r="C228" t="s">
        <v>274</v>
      </c>
      <c r="D228">
        <v>0</v>
      </c>
    </row>
    <row r="229" spans="1:4" x14ac:dyDescent="0.2">
      <c r="A229" t="s">
        <v>223</v>
      </c>
      <c r="B229">
        <v>55</v>
      </c>
      <c r="C229" t="s">
        <v>275</v>
      </c>
      <c r="D229">
        <v>55</v>
      </c>
    </row>
    <row r="230" spans="1:4" x14ac:dyDescent="0.2">
      <c r="A230" t="s">
        <v>223</v>
      </c>
      <c r="B230">
        <v>55</v>
      </c>
      <c r="C230" t="s">
        <v>276</v>
      </c>
      <c r="D230">
        <v>0</v>
      </c>
    </row>
    <row r="231" spans="1:4" x14ac:dyDescent="0.2">
      <c r="A231" t="s">
        <v>223</v>
      </c>
      <c r="B231">
        <v>55</v>
      </c>
      <c r="C231" t="s">
        <v>277</v>
      </c>
      <c r="D231">
        <v>55</v>
      </c>
    </row>
    <row r="232" spans="1:4" x14ac:dyDescent="0.2">
      <c r="A232" t="s">
        <v>223</v>
      </c>
      <c r="B232">
        <v>55</v>
      </c>
      <c r="C232" t="s">
        <v>278</v>
      </c>
      <c r="D232">
        <v>55</v>
      </c>
    </row>
    <row r="233" spans="1:4" x14ac:dyDescent="0.2">
      <c r="A233" t="s">
        <v>223</v>
      </c>
      <c r="B233">
        <v>55</v>
      </c>
      <c r="C233" t="s">
        <v>279</v>
      </c>
      <c r="D233">
        <v>0</v>
      </c>
    </row>
    <row r="234" spans="1:4" x14ac:dyDescent="0.2">
      <c r="A234" t="s">
        <v>223</v>
      </c>
      <c r="B234">
        <v>55</v>
      </c>
      <c r="C234" t="s">
        <v>280</v>
      </c>
      <c r="D234">
        <v>55</v>
      </c>
    </row>
    <row r="235" spans="1:4" x14ac:dyDescent="0.2">
      <c r="A235" t="s">
        <v>223</v>
      </c>
      <c r="B235">
        <v>55</v>
      </c>
      <c r="C235" t="s">
        <v>281</v>
      </c>
      <c r="D235">
        <v>0</v>
      </c>
    </row>
    <row r="236" spans="1:4" x14ac:dyDescent="0.2">
      <c r="A236" t="s">
        <v>223</v>
      </c>
      <c r="B236">
        <v>55</v>
      </c>
      <c r="C236" t="s">
        <v>282</v>
      </c>
      <c r="D236">
        <v>0</v>
      </c>
    </row>
    <row r="237" spans="1:4" x14ac:dyDescent="0.2">
      <c r="A237" t="s">
        <v>223</v>
      </c>
      <c r="B237">
        <v>55</v>
      </c>
      <c r="C237" t="s">
        <v>283</v>
      </c>
      <c r="D237">
        <v>55</v>
      </c>
    </row>
    <row r="238" spans="1:4" x14ac:dyDescent="0.2">
      <c r="A238" t="s">
        <v>223</v>
      </c>
      <c r="B238">
        <v>55</v>
      </c>
      <c r="C238" t="s">
        <v>284</v>
      </c>
      <c r="D238">
        <v>0</v>
      </c>
    </row>
    <row r="239" spans="1:4" x14ac:dyDescent="0.2">
      <c r="A239" t="s">
        <v>223</v>
      </c>
      <c r="B239">
        <v>55</v>
      </c>
      <c r="C239" t="s">
        <v>19</v>
      </c>
      <c r="D239">
        <v>55</v>
      </c>
    </row>
    <row r="240" spans="1:4" x14ac:dyDescent="0.2">
      <c r="A240" t="s">
        <v>224</v>
      </c>
      <c r="B240">
        <v>29</v>
      </c>
      <c r="C240" t="s">
        <v>272</v>
      </c>
      <c r="D240">
        <v>0</v>
      </c>
    </row>
    <row r="241" spans="1:4" x14ac:dyDescent="0.2">
      <c r="A241" t="s">
        <v>224</v>
      </c>
      <c r="B241">
        <v>29</v>
      </c>
      <c r="C241" t="s">
        <v>273</v>
      </c>
      <c r="D241">
        <v>29</v>
      </c>
    </row>
    <row r="242" spans="1:4" x14ac:dyDescent="0.2">
      <c r="A242" t="s">
        <v>224</v>
      </c>
      <c r="B242">
        <v>29</v>
      </c>
      <c r="C242" t="s">
        <v>274</v>
      </c>
      <c r="D242">
        <v>0</v>
      </c>
    </row>
    <row r="243" spans="1:4" x14ac:dyDescent="0.2">
      <c r="A243" t="s">
        <v>224</v>
      </c>
      <c r="B243">
        <v>29</v>
      </c>
      <c r="C243" t="s">
        <v>275</v>
      </c>
      <c r="D243">
        <v>29</v>
      </c>
    </row>
    <row r="244" spans="1:4" x14ac:dyDescent="0.2">
      <c r="A244" t="s">
        <v>224</v>
      </c>
      <c r="B244">
        <v>29</v>
      </c>
      <c r="C244" t="s">
        <v>276</v>
      </c>
      <c r="D244">
        <v>0</v>
      </c>
    </row>
    <row r="245" spans="1:4" x14ac:dyDescent="0.2">
      <c r="A245" t="s">
        <v>224</v>
      </c>
      <c r="B245">
        <v>29</v>
      </c>
      <c r="C245" t="s">
        <v>277</v>
      </c>
      <c r="D245">
        <v>29</v>
      </c>
    </row>
    <row r="246" spans="1:4" x14ac:dyDescent="0.2">
      <c r="A246" t="s">
        <v>224</v>
      </c>
      <c r="B246">
        <v>29</v>
      </c>
      <c r="C246" t="s">
        <v>278</v>
      </c>
      <c r="D246">
        <v>29</v>
      </c>
    </row>
    <row r="247" spans="1:4" x14ac:dyDescent="0.2">
      <c r="A247" t="s">
        <v>224</v>
      </c>
      <c r="B247">
        <v>29</v>
      </c>
      <c r="C247" t="s">
        <v>279</v>
      </c>
      <c r="D247">
        <v>0</v>
      </c>
    </row>
    <row r="248" spans="1:4" x14ac:dyDescent="0.2">
      <c r="A248" t="s">
        <v>224</v>
      </c>
      <c r="B248">
        <v>29</v>
      </c>
      <c r="C248" t="s">
        <v>280</v>
      </c>
      <c r="D248">
        <v>29</v>
      </c>
    </row>
    <row r="249" spans="1:4" x14ac:dyDescent="0.2">
      <c r="A249" t="s">
        <v>224</v>
      </c>
      <c r="B249">
        <v>29</v>
      </c>
      <c r="C249" t="s">
        <v>281</v>
      </c>
      <c r="D249">
        <v>0</v>
      </c>
    </row>
    <row r="250" spans="1:4" x14ac:dyDescent="0.2">
      <c r="A250" t="s">
        <v>224</v>
      </c>
      <c r="B250">
        <v>29</v>
      </c>
      <c r="C250" t="s">
        <v>282</v>
      </c>
      <c r="D250">
        <v>0</v>
      </c>
    </row>
    <row r="251" spans="1:4" x14ac:dyDescent="0.2">
      <c r="A251" t="s">
        <v>224</v>
      </c>
      <c r="B251">
        <v>29</v>
      </c>
      <c r="C251" t="s">
        <v>283</v>
      </c>
      <c r="D251">
        <v>29</v>
      </c>
    </row>
    <row r="252" spans="1:4" x14ac:dyDescent="0.2">
      <c r="A252" t="s">
        <v>224</v>
      </c>
      <c r="B252">
        <v>29</v>
      </c>
      <c r="C252" t="s">
        <v>284</v>
      </c>
      <c r="D252">
        <v>0</v>
      </c>
    </row>
    <row r="253" spans="1:4" x14ac:dyDescent="0.2">
      <c r="A253" t="s">
        <v>224</v>
      </c>
      <c r="B253">
        <v>29</v>
      </c>
      <c r="C253" t="s">
        <v>19</v>
      </c>
      <c r="D253">
        <v>29</v>
      </c>
    </row>
    <row r="254" spans="1:4" x14ac:dyDescent="0.2">
      <c r="A254" t="s">
        <v>225</v>
      </c>
      <c r="B254">
        <v>33</v>
      </c>
      <c r="C254" t="s">
        <v>272</v>
      </c>
      <c r="D254">
        <v>0</v>
      </c>
    </row>
    <row r="255" spans="1:4" x14ac:dyDescent="0.2">
      <c r="A255" t="s">
        <v>225</v>
      </c>
      <c r="B255">
        <v>33</v>
      </c>
      <c r="C255" t="s">
        <v>273</v>
      </c>
      <c r="D255">
        <v>33</v>
      </c>
    </row>
    <row r="256" spans="1:4" x14ac:dyDescent="0.2">
      <c r="A256" t="s">
        <v>225</v>
      </c>
      <c r="B256">
        <v>33</v>
      </c>
      <c r="C256" t="s">
        <v>274</v>
      </c>
      <c r="D256">
        <v>0</v>
      </c>
    </row>
    <row r="257" spans="1:4" x14ac:dyDescent="0.2">
      <c r="A257" t="s">
        <v>225</v>
      </c>
      <c r="B257">
        <v>33</v>
      </c>
      <c r="C257" t="s">
        <v>275</v>
      </c>
      <c r="D257">
        <v>33</v>
      </c>
    </row>
    <row r="258" spans="1:4" x14ac:dyDescent="0.2">
      <c r="A258" t="s">
        <v>225</v>
      </c>
      <c r="B258">
        <v>33</v>
      </c>
      <c r="C258" t="s">
        <v>276</v>
      </c>
      <c r="D258">
        <v>0</v>
      </c>
    </row>
    <row r="259" spans="1:4" x14ac:dyDescent="0.2">
      <c r="A259" t="s">
        <v>225</v>
      </c>
      <c r="B259">
        <v>33</v>
      </c>
      <c r="C259" t="s">
        <v>277</v>
      </c>
      <c r="D259">
        <v>33</v>
      </c>
    </row>
    <row r="260" spans="1:4" x14ac:dyDescent="0.2">
      <c r="A260" t="s">
        <v>225</v>
      </c>
      <c r="B260">
        <v>33</v>
      </c>
      <c r="C260" t="s">
        <v>278</v>
      </c>
      <c r="D260">
        <v>33</v>
      </c>
    </row>
    <row r="261" spans="1:4" x14ac:dyDescent="0.2">
      <c r="A261" t="s">
        <v>225</v>
      </c>
      <c r="B261">
        <v>33</v>
      </c>
      <c r="C261" t="s">
        <v>279</v>
      </c>
      <c r="D261">
        <v>0</v>
      </c>
    </row>
    <row r="262" spans="1:4" x14ac:dyDescent="0.2">
      <c r="A262" t="s">
        <v>225</v>
      </c>
      <c r="B262">
        <v>33</v>
      </c>
      <c r="C262" t="s">
        <v>280</v>
      </c>
      <c r="D262">
        <v>33</v>
      </c>
    </row>
    <row r="263" spans="1:4" x14ac:dyDescent="0.2">
      <c r="A263" t="s">
        <v>225</v>
      </c>
      <c r="B263">
        <v>33</v>
      </c>
      <c r="C263" t="s">
        <v>281</v>
      </c>
      <c r="D263">
        <v>0</v>
      </c>
    </row>
    <row r="264" spans="1:4" x14ac:dyDescent="0.2">
      <c r="A264" t="s">
        <v>225</v>
      </c>
      <c r="B264">
        <v>33</v>
      </c>
      <c r="C264" t="s">
        <v>282</v>
      </c>
      <c r="D264">
        <v>0</v>
      </c>
    </row>
    <row r="265" spans="1:4" x14ac:dyDescent="0.2">
      <c r="A265" t="s">
        <v>225</v>
      </c>
      <c r="B265">
        <v>33</v>
      </c>
      <c r="C265" t="s">
        <v>283</v>
      </c>
      <c r="D265">
        <v>33</v>
      </c>
    </row>
    <row r="266" spans="1:4" x14ac:dyDescent="0.2">
      <c r="A266" t="s">
        <v>225</v>
      </c>
      <c r="B266">
        <v>33</v>
      </c>
      <c r="C266" t="s">
        <v>284</v>
      </c>
      <c r="D266">
        <v>0</v>
      </c>
    </row>
    <row r="267" spans="1:4" x14ac:dyDescent="0.2">
      <c r="A267" t="s">
        <v>225</v>
      </c>
      <c r="B267">
        <v>33</v>
      </c>
      <c r="C267" t="s">
        <v>19</v>
      </c>
      <c r="D267">
        <v>33</v>
      </c>
    </row>
    <row r="268" spans="1:4" x14ac:dyDescent="0.2">
      <c r="A268" t="s">
        <v>226</v>
      </c>
      <c r="B268">
        <v>29</v>
      </c>
      <c r="C268" t="s">
        <v>272</v>
      </c>
      <c r="D268">
        <v>0</v>
      </c>
    </row>
    <row r="269" spans="1:4" x14ac:dyDescent="0.2">
      <c r="A269" t="s">
        <v>226</v>
      </c>
      <c r="B269">
        <v>29</v>
      </c>
      <c r="C269" t="s">
        <v>273</v>
      </c>
      <c r="D269">
        <v>29</v>
      </c>
    </row>
    <row r="270" spans="1:4" x14ac:dyDescent="0.2">
      <c r="A270" t="s">
        <v>226</v>
      </c>
      <c r="B270">
        <v>29</v>
      </c>
      <c r="C270" t="s">
        <v>274</v>
      </c>
      <c r="D270">
        <v>0</v>
      </c>
    </row>
    <row r="271" spans="1:4" x14ac:dyDescent="0.2">
      <c r="A271" t="s">
        <v>226</v>
      </c>
      <c r="B271">
        <v>29</v>
      </c>
      <c r="C271" t="s">
        <v>275</v>
      </c>
      <c r="D271">
        <v>29</v>
      </c>
    </row>
    <row r="272" spans="1:4" x14ac:dyDescent="0.2">
      <c r="A272" t="s">
        <v>226</v>
      </c>
      <c r="B272">
        <v>29</v>
      </c>
      <c r="C272" t="s">
        <v>276</v>
      </c>
      <c r="D272">
        <v>0</v>
      </c>
    </row>
    <row r="273" spans="1:4" x14ac:dyDescent="0.2">
      <c r="A273" t="s">
        <v>226</v>
      </c>
      <c r="B273">
        <v>29</v>
      </c>
      <c r="C273" t="s">
        <v>277</v>
      </c>
      <c r="D273">
        <v>29</v>
      </c>
    </row>
    <row r="274" spans="1:4" x14ac:dyDescent="0.2">
      <c r="A274" t="s">
        <v>226</v>
      </c>
      <c r="B274">
        <v>29</v>
      </c>
      <c r="C274" t="s">
        <v>278</v>
      </c>
      <c r="D274">
        <v>29</v>
      </c>
    </row>
    <row r="275" spans="1:4" x14ac:dyDescent="0.2">
      <c r="A275" t="s">
        <v>226</v>
      </c>
      <c r="B275">
        <v>29</v>
      </c>
      <c r="C275" t="s">
        <v>279</v>
      </c>
      <c r="D275">
        <v>0</v>
      </c>
    </row>
    <row r="276" spans="1:4" x14ac:dyDescent="0.2">
      <c r="A276" t="s">
        <v>226</v>
      </c>
      <c r="B276">
        <v>29</v>
      </c>
      <c r="C276" t="s">
        <v>280</v>
      </c>
      <c r="D276">
        <v>29</v>
      </c>
    </row>
    <row r="277" spans="1:4" x14ac:dyDescent="0.2">
      <c r="A277" t="s">
        <v>226</v>
      </c>
      <c r="B277">
        <v>29</v>
      </c>
      <c r="C277" t="s">
        <v>281</v>
      </c>
      <c r="D277">
        <v>0</v>
      </c>
    </row>
    <row r="278" spans="1:4" x14ac:dyDescent="0.2">
      <c r="A278" t="s">
        <v>226</v>
      </c>
      <c r="B278">
        <v>29</v>
      </c>
      <c r="C278" t="s">
        <v>282</v>
      </c>
      <c r="D278">
        <v>0</v>
      </c>
    </row>
    <row r="279" spans="1:4" x14ac:dyDescent="0.2">
      <c r="A279" t="s">
        <v>226</v>
      </c>
      <c r="B279">
        <v>29</v>
      </c>
      <c r="C279" t="s">
        <v>283</v>
      </c>
      <c r="D279">
        <v>29</v>
      </c>
    </row>
    <row r="280" spans="1:4" x14ac:dyDescent="0.2">
      <c r="A280" t="s">
        <v>226</v>
      </c>
      <c r="B280">
        <v>29</v>
      </c>
      <c r="C280" t="s">
        <v>284</v>
      </c>
      <c r="D280">
        <v>0</v>
      </c>
    </row>
    <row r="281" spans="1:4" x14ac:dyDescent="0.2">
      <c r="A281" t="s">
        <v>226</v>
      </c>
      <c r="B281">
        <v>29</v>
      </c>
      <c r="C281" t="s">
        <v>19</v>
      </c>
      <c r="D281">
        <v>29</v>
      </c>
    </row>
    <row r="282" spans="1:4" x14ac:dyDescent="0.2">
      <c r="A282" t="s">
        <v>227</v>
      </c>
      <c r="B282">
        <v>64</v>
      </c>
      <c r="C282" t="s">
        <v>272</v>
      </c>
      <c r="D282">
        <v>0</v>
      </c>
    </row>
    <row r="283" spans="1:4" x14ac:dyDescent="0.2">
      <c r="A283" t="s">
        <v>227</v>
      </c>
      <c r="B283">
        <v>64</v>
      </c>
      <c r="C283" t="s">
        <v>273</v>
      </c>
      <c r="D283">
        <v>64</v>
      </c>
    </row>
    <row r="284" spans="1:4" x14ac:dyDescent="0.2">
      <c r="A284" t="s">
        <v>227</v>
      </c>
      <c r="B284">
        <v>64</v>
      </c>
      <c r="C284" t="s">
        <v>274</v>
      </c>
      <c r="D284">
        <v>0</v>
      </c>
    </row>
    <row r="285" spans="1:4" x14ac:dyDescent="0.2">
      <c r="A285" t="s">
        <v>227</v>
      </c>
      <c r="B285">
        <v>64</v>
      </c>
      <c r="C285" t="s">
        <v>275</v>
      </c>
      <c r="D285">
        <v>64</v>
      </c>
    </row>
    <row r="286" spans="1:4" x14ac:dyDescent="0.2">
      <c r="A286" t="s">
        <v>227</v>
      </c>
      <c r="B286">
        <v>64</v>
      </c>
      <c r="C286" t="s">
        <v>276</v>
      </c>
      <c r="D286">
        <v>0</v>
      </c>
    </row>
    <row r="287" spans="1:4" x14ac:dyDescent="0.2">
      <c r="A287" t="s">
        <v>227</v>
      </c>
      <c r="B287">
        <v>64</v>
      </c>
      <c r="C287" t="s">
        <v>277</v>
      </c>
      <c r="D287">
        <v>64</v>
      </c>
    </row>
    <row r="288" spans="1:4" x14ac:dyDescent="0.2">
      <c r="A288" t="s">
        <v>227</v>
      </c>
      <c r="B288">
        <v>64</v>
      </c>
      <c r="C288" t="s">
        <v>278</v>
      </c>
      <c r="D288">
        <v>64</v>
      </c>
    </row>
    <row r="289" spans="1:4" x14ac:dyDescent="0.2">
      <c r="A289" t="s">
        <v>227</v>
      </c>
      <c r="B289">
        <v>64</v>
      </c>
      <c r="C289" t="s">
        <v>279</v>
      </c>
      <c r="D289">
        <v>0</v>
      </c>
    </row>
    <row r="290" spans="1:4" x14ac:dyDescent="0.2">
      <c r="A290" t="s">
        <v>227</v>
      </c>
      <c r="B290">
        <v>64</v>
      </c>
      <c r="C290" t="s">
        <v>280</v>
      </c>
      <c r="D290">
        <v>64</v>
      </c>
    </row>
    <row r="291" spans="1:4" x14ac:dyDescent="0.2">
      <c r="A291" t="s">
        <v>227</v>
      </c>
      <c r="B291">
        <v>64</v>
      </c>
      <c r="C291" t="s">
        <v>281</v>
      </c>
      <c r="D291">
        <v>0</v>
      </c>
    </row>
    <row r="292" spans="1:4" x14ac:dyDescent="0.2">
      <c r="A292" t="s">
        <v>227</v>
      </c>
      <c r="B292">
        <v>64</v>
      </c>
      <c r="C292" t="s">
        <v>282</v>
      </c>
      <c r="D292">
        <v>0</v>
      </c>
    </row>
    <row r="293" spans="1:4" x14ac:dyDescent="0.2">
      <c r="A293" t="s">
        <v>227</v>
      </c>
      <c r="B293">
        <v>64</v>
      </c>
      <c r="C293" t="s">
        <v>283</v>
      </c>
      <c r="D293">
        <v>64</v>
      </c>
    </row>
    <row r="294" spans="1:4" x14ac:dyDescent="0.2">
      <c r="A294" t="s">
        <v>227</v>
      </c>
      <c r="B294">
        <v>64</v>
      </c>
      <c r="C294" t="s">
        <v>284</v>
      </c>
      <c r="D294">
        <v>0</v>
      </c>
    </row>
    <row r="295" spans="1:4" x14ac:dyDescent="0.2">
      <c r="A295" t="s">
        <v>227</v>
      </c>
      <c r="B295">
        <v>64</v>
      </c>
      <c r="C295" t="s">
        <v>19</v>
      </c>
      <c r="D295">
        <v>64</v>
      </c>
    </row>
    <row r="296" spans="1:4" x14ac:dyDescent="0.2">
      <c r="A296" t="s">
        <v>228</v>
      </c>
      <c r="B296">
        <v>27</v>
      </c>
      <c r="C296" t="s">
        <v>272</v>
      </c>
      <c r="D296">
        <v>0</v>
      </c>
    </row>
    <row r="297" spans="1:4" x14ac:dyDescent="0.2">
      <c r="A297" t="s">
        <v>228</v>
      </c>
      <c r="B297">
        <v>27</v>
      </c>
      <c r="C297" t="s">
        <v>273</v>
      </c>
      <c r="D297">
        <v>27</v>
      </c>
    </row>
    <row r="298" spans="1:4" x14ac:dyDescent="0.2">
      <c r="A298" t="s">
        <v>228</v>
      </c>
      <c r="B298">
        <v>27</v>
      </c>
      <c r="C298" t="s">
        <v>274</v>
      </c>
      <c r="D298">
        <v>0</v>
      </c>
    </row>
    <row r="299" spans="1:4" x14ac:dyDescent="0.2">
      <c r="A299" t="s">
        <v>228</v>
      </c>
      <c r="B299">
        <v>27</v>
      </c>
      <c r="C299" t="s">
        <v>275</v>
      </c>
      <c r="D299">
        <v>27</v>
      </c>
    </row>
    <row r="300" spans="1:4" x14ac:dyDescent="0.2">
      <c r="A300" t="s">
        <v>228</v>
      </c>
      <c r="B300">
        <v>27</v>
      </c>
      <c r="C300" t="s">
        <v>276</v>
      </c>
      <c r="D300">
        <v>0</v>
      </c>
    </row>
    <row r="301" spans="1:4" x14ac:dyDescent="0.2">
      <c r="A301" t="s">
        <v>228</v>
      </c>
      <c r="B301">
        <v>27</v>
      </c>
      <c r="C301" t="s">
        <v>277</v>
      </c>
      <c r="D301">
        <v>27</v>
      </c>
    </row>
    <row r="302" spans="1:4" x14ac:dyDescent="0.2">
      <c r="A302" t="s">
        <v>228</v>
      </c>
      <c r="B302">
        <v>27</v>
      </c>
      <c r="C302" t="s">
        <v>278</v>
      </c>
      <c r="D302">
        <v>27</v>
      </c>
    </row>
    <row r="303" spans="1:4" x14ac:dyDescent="0.2">
      <c r="A303" t="s">
        <v>228</v>
      </c>
      <c r="B303">
        <v>27</v>
      </c>
      <c r="C303" t="s">
        <v>279</v>
      </c>
      <c r="D303">
        <v>0</v>
      </c>
    </row>
    <row r="304" spans="1:4" x14ac:dyDescent="0.2">
      <c r="A304" t="s">
        <v>228</v>
      </c>
      <c r="B304">
        <v>27</v>
      </c>
      <c r="C304" t="s">
        <v>280</v>
      </c>
      <c r="D304">
        <v>27</v>
      </c>
    </row>
    <row r="305" spans="1:4" x14ac:dyDescent="0.2">
      <c r="A305" t="s">
        <v>228</v>
      </c>
      <c r="B305">
        <v>27</v>
      </c>
      <c r="C305" t="s">
        <v>281</v>
      </c>
      <c r="D305">
        <v>0</v>
      </c>
    </row>
    <row r="306" spans="1:4" x14ac:dyDescent="0.2">
      <c r="A306" t="s">
        <v>228</v>
      </c>
      <c r="B306">
        <v>27</v>
      </c>
      <c r="C306" t="s">
        <v>282</v>
      </c>
      <c r="D306">
        <v>0</v>
      </c>
    </row>
    <row r="307" spans="1:4" x14ac:dyDescent="0.2">
      <c r="A307" t="s">
        <v>228</v>
      </c>
      <c r="B307">
        <v>27</v>
      </c>
      <c r="C307" t="s">
        <v>283</v>
      </c>
      <c r="D307">
        <v>27</v>
      </c>
    </row>
    <row r="308" spans="1:4" x14ac:dyDescent="0.2">
      <c r="A308" t="s">
        <v>228</v>
      </c>
      <c r="B308">
        <v>27</v>
      </c>
      <c r="C308" t="s">
        <v>284</v>
      </c>
      <c r="D308">
        <v>0</v>
      </c>
    </row>
    <row r="309" spans="1:4" x14ac:dyDescent="0.2">
      <c r="A309" t="s">
        <v>228</v>
      </c>
      <c r="B309">
        <v>27</v>
      </c>
      <c r="C309" t="s">
        <v>19</v>
      </c>
      <c r="D309">
        <v>27</v>
      </c>
    </row>
    <row r="310" spans="1:4" x14ac:dyDescent="0.2">
      <c r="A310" t="s">
        <v>229</v>
      </c>
      <c r="B310">
        <v>71</v>
      </c>
      <c r="C310" t="s">
        <v>272</v>
      </c>
      <c r="D310">
        <v>0</v>
      </c>
    </row>
    <row r="311" spans="1:4" x14ac:dyDescent="0.2">
      <c r="A311" t="s">
        <v>229</v>
      </c>
      <c r="B311">
        <v>71</v>
      </c>
      <c r="C311" t="s">
        <v>273</v>
      </c>
      <c r="D311">
        <v>71</v>
      </c>
    </row>
    <row r="312" spans="1:4" x14ac:dyDescent="0.2">
      <c r="A312" t="s">
        <v>229</v>
      </c>
      <c r="B312">
        <v>71</v>
      </c>
      <c r="C312" t="s">
        <v>274</v>
      </c>
      <c r="D312">
        <v>0</v>
      </c>
    </row>
    <row r="313" spans="1:4" x14ac:dyDescent="0.2">
      <c r="A313" t="s">
        <v>229</v>
      </c>
      <c r="B313">
        <v>71</v>
      </c>
      <c r="C313" t="s">
        <v>275</v>
      </c>
      <c r="D313">
        <v>71</v>
      </c>
    </row>
    <row r="314" spans="1:4" x14ac:dyDescent="0.2">
      <c r="A314" t="s">
        <v>229</v>
      </c>
      <c r="B314">
        <v>71</v>
      </c>
      <c r="C314" t="s">
        <v>276</v>
      </c>
      <c r="D314">
        <v>0</v>
      </c>
    </row>
    <row r="315" spans="1:4" x14ac:dyDescent="0.2">
      <c r="A315" t="s">
        <v>229</v>
      </c>
      <c r="B315">
        <v>71</v>
      </c>
      <c r="C315" t="s">
        <v>277</v>
      </c>
      <c r="D315">
        <v>71</v>
      </c>
    </row>
    <row r="316" spans="1:4" x14ac:dyDescent="0.2">
      <c r="A316" t="s">
        <v>229</v>
      </c>
      <c r="B316">
        <v>71</v>
      </c>
      <c r="C316" t="s">
        <v>278</v>
      </c>
      <c r="D316">
        <v>71</v>
      </c>
    </row>
    <row r="317" spans="1:4" x14ac:dyDescent="0.2">
      <c r="A317" t="s">
        <v>229</v>
      </c>
      <c r="B317">
        <v>71</v>
      </c>
      <c r="C317" t="s">
        <v>279</v>
      </c>
      <c r="D317">
        <v>0</v>
      </c>
    </row>
    <row r="318" spans="1:4" x14ac:dyDescent="0.2">
      <c r="A318" t="s">
        <v>229</v>
      </c>
      <c r="B318">
        <v>71</v>
      </c>
      <c r="C318" t="s">
        <v>280</v>
      </c>
      <c r="D318">
        <v>71</v>
      </c>
    </row>
    <row r="319" spans="1:4" x14ac:dyDescent="0.2">
      <c r="A319" t="s">
        <v>229</v>
      </c>
      <c r="B319">
        <v>71</v>
      </c>
      <c r="C319" t="s">
        <v>281</v>
      </c>
      <c r="D319">
        <v>0</v>
      </c>
    </row>
    <row r="320" spans="1:4" x14ac:dyDescent="0.2">
      <c r="A320" t="s">
        <v>229</v>
      </c>
      <c r="B320">
        <v>71</v>
      </c>
      <c r="C320" t="s">
        <v>282</v>
      </c>
      <c r="D320">
        <v>0</v>
      </c>
    </row>
    <row r="321" spans="1:4" x14ac:dyDescent="0.2">
      <c r="A321" t="s">
        <v>229</v>
      </c>
      <c r="B321">
        <v>71</v>
      </c>
      <c r="C321" t="s">
        <v>283</v>
      </c>
      <c r="D321">
        <v>71</v>
      </c>
    </row>
    <row r="322" spans="1:4" x14ac:dyDescent="0.2">
      <c r="A322" t="s">
        <v>229</v>
      </c>
      <c r="B322">
        <v>71</v>
      </c>
      <c r="C322" t="s">
        <v>284</v>
      </c>
      <c r="D322">
        <v>0</v>
      </c>
    </row>
    <row r="323" spans="1:4" x14ac:dyDescent="0.2">
      <c r="A323" t="s">
        <v>229</v>
      </c>
      <c r="B323">
        <v>71</v>
      </c>
      <c r="C323" t="s">
        <v>19</v>
      </c>
      <c r="D323">
        <v>71</v>
      </c>
    </row>
    <row r="324" spans="1:4" x14ac:dyDescent="0.2">
      <c r="A324" t="s">
        <v>230</v>
      </c>
      <c r="B324">
        <v>143</v>
      </c>
      <c r="C324" t="s">
        <v>272</v>
      </c>
      <c r="D324">
        <v>1</v>
      </c>
    </row>
    <row r="325" spans="1:4" x14ac:dyDescent="0.2">
      <c r="A325" t="s">
        <v>230</v>
      </c>
      <c r="B325">
        <v>143</v>
      </c>
      <c r="C325" t="s">
        <v>273</v>
      </c>
      <c r="D325">
        <v>142</v>
      </c>
    </row>
    <row r="326" spans="1:4" x14ac:dyDescent="0.2">
      <c r="A326" t="s">
        <v>230</v>
      </c>
      <c r="B326">
        <v>143</v>
      </c>
      <c r="C326" t="s">
        <v>274</v>
      </c>
      <c r="D326">
        <v>0</v>
      </c>
    </row>
    <row r="327" spans="1:4" x14ac:dyDescent="0.2">
      <c r="A327" t="s">
        <v>230</v>
      </c>
      <c r="B327">
        <v>143</v>
      </c>
      <c r="C327" t="s">
        <v>275</v>
      </c>
      <c r="D327">
        <v>143</v>
      </c>
    </row>
    <row r="328" spans="1:4" x14ac:dyDescent="0.2">
      <c r="A328" t="s">
        <v>230</v>
      </c>
      <c r="B328">
        <v>143</v>
      </c>
      <c r="C328" t="s">
        <v>276</v>
      </c>
      <c r="D328">
        <v>0</v>
      </c>
    </row>
    <row r="329" spans="1:4" x14ac:dyDescent="0.2">
      <c r="A329" t="s">
        <v>230</v>
      </c>
      <c r="B329">
        <v>143</v>
      </c>
      <c r="C329" t="s">
        <v>277</v>
      </c>
      <c r="D329">
        <v>143</v>
      </c>
    </row>
    <row r="330" spans="1:4" x14ac:dyDescent="0.2">
      <c r="A330" t="s">
        <v>230</v>
      </c>
      <c r="B330">
        <v>143</v>
      </c>
      <c r="C330" t="s">
        <v>278</v>
      </c>
      <c r="D330">
        <v>143</v>
      </c>
    </row>
    <row r="331" spans="1:4" x14ac:dyDescent="0.2">
      <c r="A331" t="s">
        <v>230</v>
      </c>
      <c r="B331">
        <v>143</v>
      </c>
      <c r="C331" t="s">
        <v>279</v>
      </c>
      <c r="D331">
        <v>0</v>
      </c>
    </row>
    <row r="332" spans="1:4" x14ac:dyDescent="0.2">
      <c r="A332" t="s">
        <v>230</v>
      </c>
      <c r="B332">
        <v>143</v>
      </c>
      <c r="C332" t="s">
        <v>280</v>
      </c>
      <c r="D332">
        <v>143</v>
      </c>
    </row>
    <row r="333" spans="1:4" x14ac:dyDescent="0.2">
      <c r="A333" t="s">
        <v>230</v>
      </c>
      <c r="B333">
        <v>143</v>
      </c>
      <c r="C333" t="s">
        <v>281</v>
      </c>
      <c r="D333">
        <v>0</v>
      </c>
    </row>
    <row r="334" spans="1:4" x14ac:dyDescent="0.2">
      <c r="A334" t="s">
        <v>230</v>
      </c>
      <c r="B334">
        <v>143</v>
      </c>
      <c r="C334" t="s">
        <v>282</v>
      </c>
      <c r="D334">
        <v>0</v>
      </c>
    </row>
    <row r="335" spans="1:4" x14ac:dyDescent="0.2">
      <c r="A335" t="s">
        <v>230</v>
      </c>
      <c r="B335">
        <v>143</v>
      </c>
      <c r="C335" t="s">
        <v>283</v>
      </c>
      <c r="D335">
        <v>143</v>
      </c>
    </row>
    <row r="336" spans="1:4" x14ac:dyDescent="0.2">
      <c r="A336" t="s">
        <v>230</v>
      </c>
      <c r="B336">
        <v>143</v>
      </c>
      <c r="C336" t="s">
        <v>284</v>
      </c>
      <c r="D336">
        <v>0</v>
      </c>
    </row>
    <row r="337" spans="1:4" x14ac:dyDescent="0.2">
      <c r="A337" t="s">
        <v>230</v>
      </c>
      <c r="B337">
        <v>143</v>
      </c>
      <c r="C337" t="s">
        <v>19</v>
      </c>
      <c r="D337">
        <v>142</v>
      </c>
    </row>
    <row r="338" spans="1:4" x14ac:dyDescent="0.2">
      <c r="A338" t="s">
        <v>232</v>
      </c>
      <c r="B338">
        <v>103</v>
      </c>
      <c r="C338" t="s">
        <v>272</v>
      </c>
      <c r="D338">
        <v>32</v>
      </c>
    </row>
    <row r="339" spans="1:4" x14ac:dyDescent="0.2">
      <c r="A339" t="s">
        <v>232</v>
      </c>
      <c r="B339">
        <v>103</v>
      </c>
      <c r="C339" t="s">
        <v>273</v>
      </c>
      <c r="D339">
        <v>71</v>
      </c>
    </row>
    <row r="340" spans="1:4" x14ac:dyDescent="0.2">
      <c r="A340" t="s">
        <v>232</v>
      </c>
      <c r="B340">
        <v>103</v>
      </c>
      <c r="C340" t="s">
        <v>274</v>
      </c>
      <c r="D340">
        <v>0</v>
      </c>
    </row>
    <row r="341" spans="1:4" x14ac:dyDescent="0.2">
      <c r="A341" t="s">
        <v>232</v>
      </c>
      <c r="B341">
        <v>103</v>
      </c>
      <c r="C341" t="s">
        <v>275</v>
      </c>
      <c r="D341">
        <v>103</v>
      </c>
    </row>
    <row r="342" spans="1:4" x14ac:dyDescent="0.2">
      <c r="A342" t="s">
        <v>232</v>
      </c>
      <c r="B342">
        <v>103</v>
      </c>
      <c r="C342" t="s">
        <v>276</v>
      </c>
      <c r="D342">
        <v>0</v>
      </c>
    </row>
    <row r="343" spans="1:4" x14ac:dyDescent="0.2">
      <c r="A343" t="s">
        <v>232</v>
      </c>
      <c r="B343">
        <v>103</v>
      </c>
      <c r="C343" t="s">
        <v>277</v>
      </c>
      <c r="D343">
        <v>103</v>
      </c>
    </row>
    <row r="344" spans="1:4" x14ac:dyDescent="0.2">
      <c r="A344" t="s">
        <v>232</v>
      </c>
      <c r="B344">
        <v>103</v>
      </c>
      <c r="C344" t="s">
        <v>278</v>
      </c>
      <c r="D344">
        <v>103</v>
      </c>
    </row>
    <row r="345" spans="1:4" x14ac:dyDescent="0.2">
      <c r="A345" t="s">
        <v>232</v>
      </c>
      <c r="B345">
        <v>103</v>
      </c>
      <c r="C345" t="s">
        <v>279</v>
      </c>
      <c r="D345">
        <v>0</v>
      </c>
    </row>
    <row r="346" spans="1:4" x14ac:dyDescent="0.2">
      <c r="A346" t="s">
        <v>232</v>
      </c>
      <c r="B346">
        <v>103</v>
      </c>
      <c r="C346" t="s">
        <v>280</v>
      </c>
      <c r="D346">
        <v>103</v>
      </c>
    </row>
    <row r="347" spans="1:4" x14ac:dyDescent="0.2">
      <c r="A347" t="s">
        <v>232</v>
      </c>
      <c r="B347">
        <v>103</v>
      </c>
      <c r="C347" t="s">
        <v>281</v>
      </c>
      <c r="D347">
        <v>0</v>
      </c>
    </row>
    <row r="348" spans="1:4" x14ac:dyDescent="0.2">
      <c r="A348" t="s">
        <v>232</v>
      </c>
      <c r="B348">
        <v>103</v>
      </c>
      <c r="C348" t="s">
        <v>282</v>
      </c>
      <c r="D348">
        <v>3</v>
      </c>
    </row>
    <row r="349" spans="1:4" x14ac:dyDescent="0.2">
      <c r="A349" t="s">
        <v>232</v>
      </c>
      <c r="B349">
        <v>103</v>
      </c>
      <c r="C349" t="s">
        <v>283</v>
      </c>
      <c r="D349">
        <v>100</v>
      </c>
    </row>
    <row r="350" spans="1:4" x14ac:dyDescent="0.2">
      <c r="A350" t="s">
        <v>232</v>
      </c>
      <c r="B350">
        <v>103</v>
      </c>
      <c r="C350" t="s">
        <v>284</v>
      </c>
      <c r="D350">
        <v>0</v>
      </c>
    </row>
    <row r="351" spans="1:4" x14ac:dyDescent="0.2">
      <c r="A351" t="s">
        <v>232</v>
      </c>
      <c r="B351">
        <v>103</v>
      </c>
      <c r="C351" t="s">
        <v>19</v>
      </c>
      <c r="D351">
        <v>68</v>
      </c>
    </row>
    <row r="352" spans="1:4" x14ac:dyDescent="0.2">
      <c r="A352" t="s">
        <v>235</v>
      </c>
      <c r="B352">
        <v>30</v>
      </c>
      <c r="C352" t="s">
        <v>272</v>
      </c>
      <c r="D352">
        <v>0</v>
      </c>
    </row>
    <row r="353" spans="1:4" x14ac:dyDescent="0.2">
      <c r="A353" t="s">
        <v>235</v>
      </c>
      <c r="B353">
        <v>30</v>
      </c>
      <c r="C353" t="s">
        <v>273</v>
      </c>
      <c r="D353">
        <v>30</v>
      </c>
    </row>
    <row r="354" spans="1:4" x14ac:dyDescent="0.2">
      <c r="A354" t="s">
        <v>235</v>
      </c>
      <c r="B354">
        <v>30</v>
      </c>
      <c r="C354" t="s">
        <v>274</v>
      </c>
      <c r="D354">
        <v>0</v>
      </c>
    </row>
    <row r="355" spans="1:4" x14ac:dyDescent="0.2">
      <c r="A355" t="s">
        <v>235</v>
      </c>
      <c r="B355">
        <v>30</v>
      </c>
      <c r="C355" t="s">
        <v>275</v>
      </c>
      <c r="D355">
        <v>30</v>
      </c>
    </row>
    <row r="356" spans="1:4" x14ac:dyDescent="0.2">
      <c r="A356" t="s">
        <v>235</v>
      </c>
      <c r="B356">
        <v>30</v>
      </c>
      <c r="C356" t="s">
        <v>276</v>
      </c>
      <c r="D356">
        <v>0</v>
      </c>
    </row>
    <row r="357" spans="1:4" x14ac:dyDescent="0.2">
      <c r="A357" t="s">
        <v>235</v>
      </c>
      <c r="B357">
        <v>30</v>
      </c>
      <c r="C357" t="s">
        <v>277</v>
      </c>
      <c r="D357">
        <v>30</v>
      </c>
    </row>
    <row r="358" spans="1:4" x14ac:dyDescent="0.2">
      <c r="A358" t="s">
        <v>235</v>
      </c>
      <c r="B358">
        <v>30</v>
      </c>
      <c r="C358" t="s">
        <v>278</v>
      </c>
      <c r="D358">
        <v>30</v>
      </c>
    </row>
    <row r="359" spans="1:4" x14ac:dyDescent="0.2">
      <c r="A359" t="s">
        <v>235</v>
      </c>
      <c r="B359">
        <v>30</v>
      </c>
      <c r="C359" t="s">
        <v>279</v>
      </c>
      <c r="D359">
        <v>0</v>
      </c>
    </row>
    <row r="360" spans="1:4" x14ac:dyDescent="0.2">
      <c r="A360" t="s">
        <v>235</v>
      </c>
      <c r="B360">
        <v>30</v>
      </c>
      <c r="C360" t="s">
        <v>280</v>
      </c>
      <c r="D360">
        <v>30</v>
      </c>
    </row>
    <row r="361" spans="1:4" x14ac:dyDescent="0.2">
      <c r="A361" t="s">
        <v>235</v>
      </c>
      <c r="B361">
        <v>30</v>
      </c>
      <c r="C361" t="s">
        <v>281</v>
      </c>
      <c r="D361">
        <v>0</v>
      </c>
    </row>
    <row r="362" spans="1:4" x14ac:dyDescent="0.2">
      <c r="A362" t="s">
        <v>235</v>
      </c>
      <c r="B362">
        <v>30</v>
      </c>
      <c r="C362" t="s">
        <v>282</v>
      </c>
      <c r="D362">
        <v>0</v>
      </c>
    </row>
    <row r="363" spans="1:4" x14ac:dyDescent="0.2">
      <c r="A363" t="s">
        <v>235</v>
      </c>
      <c r="B363">
        <v>30</v>
      </c>
      <c r="C363" t="s">
        <v>283</v>
      </c>
      <c r="D363">
        <v>30</v>
      </c>
    </row>
    <row r="364" spans="1:4" x14ac:dyDescent="0.2">
      <c r="A364" t="s">
        <v>235</v>
      </c>
      <c r="B364">
        <v>30</v>
      </c>
      <c r="C364" t="s">
        <v>284</v>
      </c>
      <c r="D364">
        <v>0</v>
      </c>
    </row>
    <row r="365" spans="1:4" x14ac:dyDescent="0.2">
      <c r="A365" t="s">
        <v>235</v>
      </c>
      <c r="B365">
        <v>30</v>
      </c>
      <c r="C365" t="s">
        <v>19</v>
      </c>
      <c r="D365">
        <v>30</v>
      </c>
    </row>
    <row r="366" spans="1:4" x14ac:dyDescent="0.2">
      <c r="A366" t="s">
        <v>236</v>
      </c>
      <c r="B366">
        <v>24</v>
      </c>
      <c r="C366" t="s">
        <v>272</v>
      </c>
      <c r="D366">
        <v>0</v>
      </c>
    </row>
    <row r="367" spans="1:4" x14ac:dyDescent="0.2">
      <c r="A367" t="s">
        <v>236</v>
      </c>
      <c r="B367">
        <v>24</v>
      </c>
      <c r="C367" t="s">
        <v>273</v>
      </c>
      <c r="D367">
        <v>24</v>
      </c>
    </row>
    <row r="368" spans="1:4" x14ac:dyDescent="0.2">
      <c r="A368" t="s">
        <v>236</v>
      </c>
      <c r="B368">
        <v>24</v>
      </c>
      <c r="C368" t="s">
        <v>274</v>
      </c>
      <c r="D368">
        <v>0</v>
      </c>
    </row>
    <row r="369" spans="1:4" x14ac:dyDescent="0.2">
      <c r="A369" t="s">
        <v>236</v>
      </c>
      <c r="B369">
        <v>24</v>
      </c>
      <c r="C369" t="s">
        <v>275</v>
      </c>
      <c r="D369">
        <v>24</v>
      </c>
    </row>
    <row r="370" spans="1:4" x14ac:dyDescent="0.2">
      <c r="A370" t="s">
        <v>236</v>
      </c>
      <c r="B370">
        <v>24</v>
      </c>
      <c r="C370" t="s">
        <v>276</v>
      </c>
      <c r="D370">
        <v>0</v>
      </c>
    </row>
    <row r="371" spans="1:4" x14ac:dyDescent="0.2">
      <c r="A371" t="s">
        <v>236</v>
      </c>
      <c r="B371">
        <v>24</v>
      </c>
      <c r="C371" t="s">
        <v>277</v>
      </c>
      <c r="D371">
        <v>24</v>
      </c>
    </row>
    <row r="372" spans="1:4" x14ac:dyDescent="0.2">
      <c r="A372" t="s">
        <v>236</v>
      </c>
      <c r="B372">
        <v>24</v>
      </c>
      <c r="C372" t="s">
        <v>278</v>
      </c>
      <c r="D372">
        <v>24</v>
      </c>
    </row>
    <row r="373" spans="1:4" x14ac:dyDescent="0.2">
      <c r="A373" t="s">
        <v>236</v>
      </c>
      <c r="B373">
        <v>24</v>
      </c>
      <c r="C373" t="s">
        <v>279</v>
      </c>
      <c r="D373">
        <v>0</v>
      </c>
    </row>
    <row r="374" spans="1:4" x14ac:dyDescent="0.2">
      <c r="A374" t="s">
        <v>236</v>
      </c>
      <c r="B374">
        <v>24</v>
      </c>
      <c r="C374" t="s">
        <v>280</v>
      </c>
      <c r="D374">
        <v>24</v>
      </c>
    </row>
    <row r="375" spans="1:4" x14ac:dyDescent="0.2">
      <c r="A375" t="s">
        <v>236</v>
      </c>
      <c r="B375">
        <v>24</v>
      </c>
      <c r="C375" t="s">
        <v>281</v>
      </c>
      <c r="D375">
        <v>0</v>
      </c>
    </row>
    <row r="376" spans="1:4" x14ac:dyDescent="0.2">
      <c r="A376" t="s">
        <v>236</v>
      </c>
      <c r="B376">
        <v>24</v>
      </c>
      <c r="C376" t="s">
        <v>282</v>
      </c>
      <c r="D376">
        <v>0</v>
      </c>
    </row>
    <row r="377" spans="1:4" x14ac:dyDescent="0.2">
      <c r="A377" t="s">
        <v>236</v>
      </c>
      <c r="B377">
        <v>24</v>
      </c>
      <c r="C377" t="s">
        <v>283</v>
      </c>
      <c r="D377">
        <v>24</v>
      </c>
    </row>
    <row r="378" spans="1:4" x14ac:dyDescent="0.2">
      <c r="A378" t="s">
        <v>236</v>
      </c>
      <c r="B378">
        <v>24</v>
      </c>
      <c r="C378" t="s">
        <v>284</v>
      </c>
      <c r="D378">
        <v>0</v>
      </c>
    </row>
    <row r="379" spans="1:4" x14ac:dyDescent="0.2">
      <c r="A379" t="s">
        <v>236</v>
      </c>
      <c r="B379">
        <v>24</v>
      </c>
      <c r="C379" t="s">
        <v>19</v>
      </c>
      <c r="D379">
        <v>24</v>
      </c>
    </row>
    <row r="380" spans="1:4" x14ac:dyDescent="0.2">
      <c r="A380" t="s">
        <v>237</v>
      </c>
      <c r="B380">
        <v>29</v>
      </c>
      <c r="C380" t="s">
        <v>272</v>
      </c>
      <c r="D380">
        <v>0</v>
      </c>
    </row>
    <row r="381" spans="1:4" x14ac:dyDescent="0.2">
      <c r="A381" t="s">
        <v>237</v>
      </c>
      <c r="B381">
        <v>29</v>
      </c>
      <c r="C381" t="s">
        <v>273</v>
      </c>
      <c r="D381">
        <v>29</v>
      </c>
    </row>
    <row r="382" spans="1:4" x14ac:dyDescent="0.2">
      <c r="A382" t="s">
        <v>237</v>
      </c>
      <c r="B382">
        <v>29</v>
      </c>
      <c r="C382" t="s">
        <v>274</v>
      </c>
      <c r="D382">
        <v>0</v>
      </c>
    </row>
    <row r="383" spans="1:4" x14ac:dyDescent="0.2">
      <c r="A383" t="s">
        <v>237</v>
      </c>
      <c r="B383">
        <v>29</v>
      </c>
      <c r="C383" t="s">
        <v>275</v>
      </c>
      <c r="D383">
        <v>29</v>
      </c>
    </row>
    <row r="384" spans="1:4" x14ac:dyDescent="0.2">
      <c r="A384" t="s">
        <v>237</v>
      </c>
      <c r="B384">
        <v>29</v>
      </c>
      <c r="C384" t="s">
        <v>276</v>
      </c>
      <c r="D384">
        <v>0</v>
      </c>
    </row>
    <row r="385" spans="1:4" x14ac:dyDescent="0.2">
      <c r="A385" t="s">
        <v>237</v>
      </c>
      <c r="B385">
        <v>29</v>
      </c>
      <c r="C385" t="s">
        <v>277</v>
      </c>
      <c r="D385">
        <v>29</v>
      </c>
    </row>
    <row r="386" spans="1:4" x14ac:dyDescent="0.2">
      <c r="A386" t="s">
        <v>237</v>
      </c>
      <c r="B386">
        <v>29</v>
      </c>
      <c r="C386" t="s">
        <v>278</v>
      </c>
      <c r="D386">
        <v>29</v>
      </c>
    </row>
    <row r="387" spans="1:4" x14ac:dyDescent="0.2">
      <c r="A387" t="s">
        <v>237</v>
      </c>
      <c r="B387">
        <v>29</v>
      </c>
      <c r="C387" t="s">
        <v>279</v>
      </c>
      <c r="D387">
        <v>0</v>
      </c>
    </row>
    <row r="388" spans="1:4" x14ac:dyDescent="0.2">
      <c r="A388" t="s">
        <v>237</v>
      </c>
      <c r="B388">
        <v>29</v>
      </c>
      <c r="C388" t="s">
        <v>280</v>
      </c>
      <c r="D388">
        <v>29</v>
      </c>
    </row>
    <row r="389" spans="1:4" x14ac:dyDescent="0.2">
      <c r="A389" t="s">
        <v>237</v>
      </c>
      <c r="B389">
        <v>29</v>
      </c>
      <c r="C389" t="s">
        <v>281</v>
      </c>
      <c r="D389">
        <v>0</v>
      </c>
    </row>
    <row r="390" spans="1:4" x14ac:dyDescent="0.2">
      <c r="A390" t="s">
        <v>237</v>
      </c>
      <c r="B390">
        <v>29</v>
      </c>
      <c r="C390" t="s">
        <v>282</v>
      </c>
      <c r="D390">
        <v>0</v>
      </c>
    </row>
    <row r="391" spans="1:4" x14ac:dyDescent="0.2">
      <c r="A391" t="s">
        <v>237</v>
      </c>
      <c r="B391">
        <v>29</v>
      </c>
      <c r="C391" t="s">
        <v>283</v>
      </c>
      <c r="D391">
        <v>29</v>
      </c>
    </row>
    <row r="392" spans="1:4" x14ac:dyDescent="0.2">
      <c r="A392" t="s">
        <v>237</v>
      </c>
      <c r="B392">
        <v>29</v>
      </c>
      <c r="C392" t="s">
        <v>284</v>
      </c>
      <c r="D392">
        <v>0</v>
      </c>
    </row>
    <row r="393" spans="1:4" x14ac:dyDescent="0.2">
      <c r="A393" t="s">
        <v>237</v>
      </c>
      <c r="B393">
        <v>29</v>
      </c>
      <c r="C393" t="s">
        <v>19</v>
      </c>
      <c r="D393">
        <v>29</v>
      </c>
    </row>
    <row r="394" spans="1:4" x14ac:dyDescent="0.2">
      <c r="A394" t="s">
        <v>238</v>
      </c>
      <c r="B394">
        <v>27</v>
      </c>
      <c r="C394" t="s">
        <v>272</v>
      </c>
      <c r="D394">
        <v>0</v>
      </c>
    </row>
    <row r="395" spans="1:4" x14ac:dyDescent="0.2">
      <c r="A395" t="s">
        <v>238</v>
      </c>
      <c r="B395">
        <v>27</v>
      </c>
      <c r="C395" t="s">
        <v>273</v>
      </c>
      <c r="D395">
        <v>27</v>
      </c>
    </row>
    <row r="396" spans="1:4" x14ac:dyDescent="0.2">
      <c r="A396" t="s">
        <v>238</v>
      </c>
      <c r="B396">
        <v>27</v>
      </c>
      <c r="C396" t="s">
        <v>274</v>
      </c>
      <c r="D396">
        <v>0</v>
      </c>
    </row>
    <row r="397" spans="1:4" x14ac:dyDescent="0.2">
      <c r="A397" t="s">
        <v>238</v>
      </c>
      <c r="B397">
        <v>27</v>
      </c>
      <c r="C397" t="s">
        <v>275</v>
      </c>
      <c r="D397">
        <v>27</v>
      </c>
    </row>
    <row r="398" spans="1:4" x14ac:dyDescent="0.2">
      <c r="A398" t="s">
        <v>238</v>
      </c>
      <c r="B398">
        <v>27</v>
      </c>
      <c r="C398" t="s">
        <v>276</v>
      </c>
      <c r="D398">
        <v>0</v>
      </c>
    </row>
    <row r="399" spans="1:4" x14ac:dyDescent="0.2">
      <c r="A399" t="s">
        <v>238</v>
      </c>
      <c r="B399">
        <v>27</v>
      </c>
      <c r="C399" t="s">
        <v>277</v>
      </c>
      <c r="D399">
        <v>27</v>
      </c>
    </row>
    <row r="400" spans="1:4" x14ac:dyDescent="0.2">
      <c r="A400" t="s">
        <v>238</v>
      </c>
      <c r="B400">
        <v>27</v>
      </c>
      <c r="C400" t="s">
        <v>278</v>
      </c>
      <c r="D400">
        <v>27</v>
      </c>
    </row>
    <row r="401" spans="1:4" x14ac:dyDescent="0.2">
      <c r="A401" t="s">
        <v>238</v>
      </c>
      <c r="B401">
        <v>27</v>
      </c>
      <c r="C401" t="s">
        <v>279</v>
      </c>
      <c r="D401">
        <v>0</v>
      </c>
    </row>
    <row r="402" spans="1:4" x14ac:dyDescent="0.2">
      <c r="A402" t="s">
        <v>238</v>
      </c>
      <c r="B402">
        <v>27</v>
      </c>
      <c r="C402" t="s">
        <v>280</v>
      </c>
      <c r="D402">
        <v>27</v>
      </c>
    </row>
    <row r="403" spans="1:4" x14ac:dyDescent="0.2">
      <c r="A403" t="s">
        <v>238</v>
      </c>
      <c r="B403">
        <v>27</v>
      </c>
      <c r="C403" t="s">
        <v>281</v>
      </c>
      <c r="D403">
        <v>0</v>
      </c>
    </row>
    <row r="404" spans="1:4" x14ac:dyDescent="0.2">
      <c r="A404" t="s">
        <v>238</v>
      </c>
      <c r="B404">
        <v>27</v>
      </c>
      <c r="C404" t="s">
        <v>282</v>
      </c>
      <c r="D404">
        <v>0</v>
      </c>
    </row>
    <row r="405" spans="1:4" x14ac:dyDescent="0.2">
      <c r="A405" t="s">
        <v>238</v>
      </c>
      <c r="B405">
        <v>27</v>
      </c>
      <c r="C405" t="s">
        <v>283</v>
      </c>
      <c r="D405">
        <v>27</v>
      </c>
    </row>
    <row r="406" spans="1:4" x14ac:dyDescent="0.2">
      <c r="A406" t="s">
        <v>238</v>
      </c>
      <c r="B406">
        <v>27</v>
      </c>
      <c r="C406" t="s">
        <v>284</v>
      </c>
      <c r="D406">
        <v>0</v>
      </c>
    </row>
    <row r="407" spans="1:4" x14ac:dyDescent="0.2">
      <c r="A407" t="s">
        <v>238</v>
      </c>
      <c r="B407">
        <v>27</v>
      </c>
      <c r="C407" t="s">
        <v>19</v>
      </c>
      <c r="D407">
        <v>27</v>
      </c>
    </row>
    <row r="408" spans="1:4" x14ac:dyDescent="0.2">
      <c r="A408" t="s">
        <v>239</v>
      </c>
      <c r="B408">
        <v>26</v>
      </c>
      <c r="C408" t="s">
        <v>272</v>
      </c>
      <c r="D408">
        <v>0</v>
      </c>
    </row>
    <row r="409" spans="1:4" x14ac:dyDescent="0.2">
      <c r="A409" t="s">
        <v>239</v>
      </c>
      <c r="B409">
        <v>26</v>
      </c>
      <c r="C409" t="s">
        <v>273</v>
      </c>
      <c r="D409">
        <v>26</v>
      </c>
    </row>
    <row r="410" spans="1:4" x14ac:dyDescent="0.2">
      <c r="A410" t="s">
        <v>239</v>
      </c>
      <c r="B410">
        <v>26</v>
      </c>
      <c r="C410" t="s">
        <v>274</v>
      </c>
      <c r="D410">
        <v>0</v>
      </c>
    </row>
    <row r="411" spans="1:4" x14ac:dyDescent="0.2">
      <c r="A411" t="s">
        <v>239</v>
      </c>
      <c r="B411">
        <v>26</v>
      </c>
      <c r="C411" t="s">
        <v>275</v>
      </c>
      <c r="D411">
        <v>26</v>
      </c>
    </row>
    <row r="412" spans="1:4" x14ac:dyDescent="0.2">
      <c r="A412" t="s">
        <v>239</v>
      </c>
      <c r="B412">
        <v>26</v>
      </c>
      <c r="C412" t="s">
        <v>276</v>
      </c>
      <c r="D412">
        <v>0</v>
      </c>
    </row>
    <row r="413" spans="1:4" x14ac:dyDescent="0.2">
      <c r="A413" t="s">
        <v>239</v>
      </c>
      <c r="B413">
        <v>26</v>
      </c>
      <c r="C413" t="s">
        <v>277</v>
      </c>
      <c r="D413">
        <v>26</v>
      </c>
    </row>
    <row r="414" spans="1:4" x14ac:dyDescent="0.2">
      <c r="A414" t="s">
        <v>239</v>
      </c>
      <c r="B414">
        <v>26</v>
      </c>
      <c r="C414" t="s">
        <v>278</v>
      </c>
      <c r="D414">
        <v>26</v>
      </c>
    </row>
    <row r="415" spans="1:4" x14ac:dyDescent="0.2">
      <c r="A415" t="s">
        <v>239</v>
      </c>
      <c r="B415">
        <v>26</v>
      </c>
      <c r="C415" t="s">
        <v>279</v>
      </c>
      <c r="D415">
        <v>0</v>
      </c>
    </row>
    <row r="416" spans="1:4" x14ac:dyDescent="0.2">
      <c r="A416" t="s">
        <v>239</v>
      </c>
      <c r="B416">
        <v>26</v>
      </c>
      <c r="C416" t="s">
        <v>280</v>
      </c>
      <c r="D416">
        <v>26</v>
      </c>
    </row>
    <row r="417" spans="1:4" x14ac:dyDescent="0.2">
      <c r="A417" t="s">
        <v>239</v>
      </c>
      <c r="B417">
        <v>26</v>
      </c>
      <c r="C417" t="s">
        <v>281</v>
      </c>
      <c r="D417">
        <v>0</v>
      </c>
    </row>
    <row r="418" spans="1:4" x14ac:dyDescent="0.2">
      <c r="A418" t="s">
        <v>239</v>
      </c>
      <c r="B418">
        <v>26</v>
      </c>
      <c r="C418" t="s">
        <v>282</v>
      </c>
      <c r="D418">
        <v>0</v>
      </c>
    </row>
    <row r="419" spans="1:4" x14ac:dyDescent="0.2">
      <c r="A419" t="s">
        <v>239</v>
      </c>
      <c r="B419">
        <v>26</v>
      </c>
      <c r="C419" t="s">
        <v>283</v>
      </c>
      <c r="D419">
        <v>26</v>
      </c>
    </row>
    <row r="420" spans="1:4" x14ac:dyDescent="0.2">
      <c r="A420" t="s">
        <v>239</v>
      </c>
      <c r="B420">
        <v>26</v>
      </c>
      <c r="C420" t="s">
        <v>284</v>
      </c>
      <c r="D420">
        <v>0</v>
      </c>
    </row>
    <row r="421" spans="1:4" x14ac:dyDescent="0.2">
      <c r="A421" t="s">
        <v>239</v>
      </c>
      <c r="B421">
        <v>26</v>
      </c>
      <c r="C421" t="s">
        <v>19</v>
      </c>
      <c r="D421">
        <v>26</v>
      </c>
    </row>
    <row r="422" spans="1:4" x14ac:dyDescent="0.2">
      <c r="A422" t="s">
        <v>240</v>
      </c>
      <c r="B422">
        <v>73</v>
      </c>
      <c r="C422" t="s">
        <v>272</v>
      </c>
      <c r="D422">
        <v>0</v>
      </c>
    </row>
    <row r="423" spans="1:4" x14ac:dyDescent="0.2">
      <c r="A423" t="s">
        <v>240</v>
      </c>
      <c r="B423">
        <v>73</v>
      </c>
      <c r="C423" t="s">
        <v>273</v>
      </c>
      <c r="D423">
        <v>73</v>
      </c>
    </row>
    <row r="424" spans="1:4" x14ac:dyDescent="0.2">
      <c r="A424" t="s">
        <v>240</v>
      </c>
      <c r="B424">
        <v>73</v>
      </c>
      <c r="C424" t="s">
        <v>274</v>
      </c>
      <c r="D424">
        <v>0</v>
      </c>
    </row>
    <row r="425" spans="1:4" x14ac:dyDescent="0.2">
      <c r="A425" t="s">
        <v>240</v>
      </c>
      <c r="B425">
        <v>73</v>
      </c>
      <c r="C425" t="s">
        <v>275</v>
      </c>
      <c r="D425">
        <v>73</v>
      </c>
    </row>
    <row r="426" spans="1:4" x14ac:dyDescent="0.2">
      <c r="A426" t="s">
        <v>240</v>
      </c>
      <c r="B426">
        <v>73</v>
      </c>
      <c r="C426" t="s">
        <v>276</v>
      </c>
      <c r="D426">
        <v>0</v>
      </c>
    </row>
    <row r="427" spans="1:4" x14ac:dyDescent="0.2">
      <c r="A427" t="s">
        <v>240</v>
      </c>
      <c r="B427">
        <v>73</v>
      </c>
      <c r="C427" t="s">
        <v>277</v>
      </c>
      <c r="D427">
        <v>73</v>
      </c>
    </row>
    <row r="428" spans="1:4" x14ac:dyDescent="0.2">
      <c r="A428" t="s">
        <v>240</v>
      </c>
      <c r="B428">
        <v>73</v>
      </c>
      <c r="C428" t="s">
        <v>278</v>
      </c>
      <c r="D428">
        <v>73</v>
      </c>
    </row>
    <row r="429" spans="1:4" x14ac:dyDescent="0.2">
      <c r="A429" t="s">
        <v>240</v>
      </c>
      <c r="B429">
        <v>73</v>
      </c>
      <c r="C429" t="s">
        <v>279</v>
      </c>
      <c r="D429">
        <v>0</v>
      </c>
    </row>
    <row r="430" spans="1:4" x14ac:dyDescent="0.2">
      <c r="A430" t="s">
        <v>240</v>
      </c>
      <c r="B430">
        <v>73</v>
      </c>
      <c r="C430" t="s">
        <v>280</v>
      </c>
      <c r="D430">
        <v>73</v>
      </c>
    </row>
    <row r="431" spans="1:4" x14ac:dyDescent="0.2">
      <c r="A431" t="s">
        <v>240</v>
      </c>
      <c r="B431">
        <v>73</v>
      </c>
      <c r="C431" t="s">
        <v>281</v>
      </c>
      <c r="D431">
        <v>0</v>
      </c>
    </row>
    <row r="432" spans="1:4" x14ac:dyDescent="0.2">
      <c r="A432" t="s">
        <v>240</v>
      </c>
      <c r="B432">
        <v>73</v>
      </c>
      <c r="C432" t="s">
        <v>282</v>
      </c>
      <c r="D432">
        <v>0</v>
      </c>
    </row>
    <row r="433" spans="1:4" x14ac:dyDescent="0.2">
      <c r="A433" t="s">
        <v>240</v>
      </c>
      <c r="B433">
        <v>73</v>
      </c>
      <c r="C433" t="s">
        <v>283</v>
      </c>
      <c r="D433">
        <v>73</v>
      </c>
    </row>
    <row r="434" spans="1:4" x14ac:dyDescent="0.2">
      <c r="A434" t="s">
        <v>240</v>
      </c>
      <c r="B434">
        <v>73</v>
      </c>
      <c r="C434" t="s">
        <v>284</v>
      </c>
      <c r="D434">
        <v>0</v>
      </c>
    </row>
    <row r="435" spans="1:4" x14ac:dyDescent="0.2">
      <c r="A435" t="s">
        <v>240</v>
      </c>
      <c r="B435">
        <v>73</v>
      </c>
      <c r="C435" t="s">
        <v>19</v>
      </c>
      <c r="D435">
        <v>73</v>
      </c>
    </row>
    <row r="436" spans="1:4" x14ac:dyDescent="0.2">
      <c r="A436" t="s">
        <v>241</v>
      </c>
      <c r="B436">
        <v>75</v>
      </c>
      <c r="C436" t="s">
        <v>272</v>
      </c>
      <c r="D436">
        <v>0</v>
      </c>
    </row>
    <row r="437" spans="1:4" x14ac:dyDescent="0.2">
      <c r="A437" t="s">
        <v>241</v>
      </c>
      <c r="B437">
        <v>75</v>
      </c>
      <c r="C437" t="s">
        <v>273</v>
      </c>
      <c r="D437">
        <v>75</v>
      </c>
    </row>
    <row r="438" spans="1:4" x14ac:dyDescent="0.2">
      <c r="A438" t="s">
        <v>241</v>
      </c>
      <c r="B438">
        <v>75</v>
      </c>
      <c r="C438" t="s">
        <v>274</v>
      </c>
      <c r="D438">
        <v>0</v>
      </c>
    </row>
    <row r="439" spans="1:4" x14ac:dyDescent="0.2">
      <c r="A439" t="s">
        <v>241</v>
      </c>
      <c r="B439">
        <v>75</v>
      </c>
      <c r="C439" t="s">
        <v>275</v>
      </c>
      <c r="D439">
        <v>75</v>
      </c>
    </row>
    <row r="440" spans="1:4" x14ac:dyDescent="0.2">
      <c r="A440" t="s">
        <v>241</v>
      </c>
      <c r="B440">
        <v>75</v>
      </c>
      <c r="C440" t="s">
        <v>276</v>
      </c>
      <c r="D440">
        <v>0</v>
      </c>
    </row>
    <row r="441" spans="1:4" x14ac:dyDescent="0.2">
      <c r="A441" t="s">
        <v>241</v>
      </c>
      <c r="B441">
        <v>75</v>
      </c>
      <c r="C441" t="s">
        <v>277</v>
      </c>
      <c r="D441">
        <v>75</v>
      </c>
    </row>
    <row r="442" spans="1:4" x14ac:dyDescent="0.2">
      <c r="A442" t="s">
        <v>241</v>
      </c>
      <c r="B442">
        <v>75</v>
      </c>
      <c r="C442" t="s">
        <v>278</v>
      </c>
      <c r="D442">
        <v>75</v>
      </c>
    </row>
    <row r="443" spans="1:4" x14ac:dyDescent="0.2">
      <c r="A443" t="s">
        <v>241</v>
      </c>
      <c r="B443">
        <v>75</v>
      </c>
      <c r="C443" t="s">
        <v>279</v>
      </c>
      <c r="D443">
        <v>0</v>
      </c>
    </row>
    <row r="444" spans="1:4" x14ac:dyDescent="0.2">
      <c r="A444" t="s">
        <v>241</v>
      </c>
      <c r="B444">
        <v>75</v>
      </c>
      <c r="C444" t="s">
        <v>280</v>
      </c>
      <c r="D444">
        <v>75</v>
      </c>
    </row>
    <row r="445" spans="1:4" x14ac:dyDescent="0.2">
      <c r="A445" t="s">
        <v>241</v>
      </c>
      <c r="B445">
        <v>75</v>
      </c>
      <c r="C445" t="s">
        <v>281</v>
      </c>
      <c r="D445">
        <v>0</v>
      </c>
    </row>
    <row r="446" spans="1:4" x14ac:dyDescent="0.2">
      <c r="A446" t="s">
        <v>241</v>
      </c>
      <c r="B446">
        <v>75</v>
      </c>
      <c r="C446" t="s">
        <v>282</v>
      </c>
      <c r="D446">
        <v>0</v>
      </c>
    </row>
    <row r="447" spans="1:4" x14ac:dyDescent="0.2">
      <c r="A447" t="s">
        <v>241</v>
      </c>
      <c r="B447">
        <v>75</v>
      </c>
      <c r="C447" t="s">
        <v>283</v>
      </c>
      <c r="D447">
        <v>75</v>
      </c>
    </row>
    <row r="448" spans="1:4" x14ac:dyDescent="0.2">
      <c r="A448" t="s">
        <v>241</v>
      </c>
      <c r="B448">
        <v>75</v>
      </c>
      <c r="C448" t="s">
        <v>284</v>
      </c>
      <c r="D448">
        <v>0</v>
      </c>
    </row>
    <row r="449" spans="1:4" x14ac:dyDescent="0.2">
      <c r="A449" t="s">
        <v>241</v>
      </c>
      <c r="B449">
        <v>75</v>
      </c>
      <c r="C449" t="s">
        <v>19</v>
      </c>
      <c r="D449">
        <v>75</v>
      </c>
    </row>
    <row r="450" spans="1:4" x14ac:dyDescent="0.2">
      <c r="A450" t="s">
        <v>242</v>
      </c>
      <c r="B450">
        <v>26</v>
      </c>
      <c r="C450" t="s">
        <v>272</v>
      </c>
      <c r="D450">
        <v>0</v>
      </c>
    </row>
    <row r="451" spans="1:4" x14ac:dyDescent="0.2">
      <c r="A451" t="s">
        <v>242</v>
      </c>
      <c r="B451">
        <v>26</v>
      </c>
      <c r="C451" t="s">
        <v>273</v>
      </c>
      <c r="D451">
        <v>26</v>
      </c>
    </row>
    <row r="452" spans="1:4" x14ac:dyDescent="0.2">
      <c r="A452" t="s">
        <v>242</v>
      </c>
      <c r="B452">
        <v>26</v>
      </c>
      <c r="C452" t="s">
        <v>274</v>
      </c>
      <c r="D452">
        <v>0</v>
      </c>
    </row>
    <row r="453" spans="1:4" x14ac:dyDescent="0.2">
      <c r="A453" t="s">
        <v>242</v>
      </c>
      <c r="B453">
        <v>26</v>
      </c>
      <c r="C453" t="s">
        <v>275</v>
      </c>
      <c r="D453">
        <v>26</v>
      </c>
    </row>
    <row r="454" spans="1:4" x14ac:dyDescent="0.2">
      <c r="A454" t="s">
        <v>242</v>
      </c>
      <c r="B454">
        <v>26</v>
      </c>
      <c r="C454" t="s">
        <v>276</v>
      </c>
      <c r="D454">
        <v>0</v>
      </c>
    </row>
    <row r="455" spans="1:4" x14ac:dyDescent="0.2">
      <c r="A455" t="s">
        <v>242</v>
      </c>
      <c r="B455">
        <v>26</v>
      </c>
      <c r="C455" t="s">
        <v>277</v>
      </c>
      <c r="D455">
        <v>26</v>
      </c>
    </row>
    <row r="456" spans="1:4" x14ac:dyDescent="0.2">
      <c r="A456" t="s">
        <v>242</v>
      </c>
      <c r="B456">
        <v>26</v>
      </c>
      <c r="C456" t="s">
        <v>278</v>
      </c>
      <c r="D456">
        <v>26</v>
      </c>
    </row>
    <row r="457" spans="1:4" x14ac:dyDescent="0.2">
      <c r="A457" t="s">
        <v>242</v>
      </c>
      <c r="B457">
        <v>26</v>
      </c>
      <c r="C457" t="s">
        <v>279</v>
      </c>
      <c r="D457">
        <v>0</v>
      </c>
    </row>
    <row r="458" spans="1:4" x14ac:dyDescent="0.2">
      <c r="A458" t="s">
        <v>242</v>
      </c>
      <c r="B458">
        <v>26</v>
      </c>
      <c r="C458" t="s">
        <v>280</v>
      </c>
      <c r="D458">
        <v>26</v>
      </c>
    </row>
    <row r="459" spans="1:4" x14ac:dyDescent="0.2">
      <c r="A459" t="s">
        <v>242</v>
      </c>
      <c r="B459">
        <v>26</v>
      </c>
      <c r="C459" t="s">
        <v>281</v>
      </c>
      <c r="D459">
        <v>0</v>
      </c>
    </row>
    <row r="460" spans="1:4" x14ac:dyDescent="0.2">
      <c r="A460" t="s">
        <v>242</v>
      </c>
      <c r="B460">
        <v>26</v>
      </c>
      <c r="C460" t="s">
        <v>282</v>
      </c>
      <c r="D460">
        <v>0</v>
      </c>
    </row>
    <row r="461" spans="1:4" x14ac:dyDescent="0.2">
      <c r="A461" t="s">
        <v>242</v>
      </c>
      <c r="B461">
        <v>26</v>
      </c>
      <c r="C461" t="s">
        <v>283</v>
      </c>
      <c r="D461">
        <v>26</v>
      </c>
    </row>
    <row r="462" spans="1:4" x14ac:dyDescent="0.2">
      <c r="A462" t="s">
        <v>242</v>
      </c>
      <c r="B462">
        <v>26</v>
      </c>
      <c r="C462" t="s">
        <v>284</v>
      </c>
      <c r="D462">
        <v>0</v>
      </c>
    </row>
    <row r="463" spans="1:4" x14ac:dyDescent="0.2">
      <c r="A463" t="s">
        <v>242</v>
      </c>
      <c r="B463">
        <v>26</v>
      </c>
      <c r="C463" t="s">
        <v>19</v>
      </c>
      <c r="D463">
        <v>26</v>
      </c>
    </row>
    <row r="464" spans="1:4" x14ac:dyDescent="0.2">
      <c r="A464" t="s">
        <v>243</v>
      </c>
      <c r="B464">
        <v>30</v>
      </c>
      <c r="C464" t="s">
        <v>272</v>
      </c>
      <c r="D464">
        <v>0</v>
      </c>
    </row>
    <row r="465" spans="1:4" x14ac:dyDescent="0.2">
      <c r="A465" t="s">
        <v>243</v>
      </c>
      <c r="B465">
        <v>30</v>
      </c>
      <c r="C465" t="s">
        <v>273</v>
      </c>
      <c r="D465">
        <v>30</v>
      </c>
    </row>
    <row r="466" spans="1:4" x14ac:dyDescent="0.2">
      <c r="A466" t="s">
        <v>243</v>
      </c>
      <c r="B466">
        <v>30</v>
      </c>
      <c r="C466" t="s">
        <v>274</v>
      </c>
      <c r="D466">
        <v>0</v>
      </c>
    </row>
    <row r="467" spans="1:4" x14ac:dyDescent="0.2">
      <c r="A467" t="s">
        <v>243</v>
      </c>
      <c r="B467">
        <v>30</v>
      </c>
      <c r="C467" t="s">
        <v>275</v>
      </c>
      <c r="D467">
        <v>30</v>
      </c>
    </row>
    <row r="468" spans="1:4" x14ac:dyDescent="0.2">
      <c r="A468" t="s">
        <v>243</v>
      </c>
      <c r="B468">
        <v>30</v>
      </c>
      <c r="C468" t="s">
        <v>276</v>
      </c>
      <c r="D468">
        <v>0</v>
      </c>
    </row>
    <row r="469" spans="1:4" x14ac:dyDescent="0.2">
      <c r="A469" t="s">
        <v>243</v>
      </c>
      <c r="B469">
        <v>30</v>
      </c>
      <c r="C469" t="s">
        <v>277</v>
      </c>
      <c r="D469">
        <v>30</v>
      </c>
    </row>
    <row r="470" spans="1:4" x14ac:dyDescent="0.2">
      <c r="A470" t="s">
        <v>243</v>
      </c>
      <c r="B470">
        <v>30</v>
      </c>
      <c r="C470" t="s">
        <v>278</v>
      </c>
      <c r="D470">
        <v>30</v>
      </c>
    </row>
    <row r="471" spans="1:4" x14ac:dyDescent="0.2">
      <c r="A471" t="s">
        <v>243</v>
      </c>
      <c r="B471">
        <v>30</v>
      </c>
      <c r="C471" t="s">
        <v>279</v>
      </c>
      <c r="D471">
        <v>0</v>
      </c>
    </row>
    <row r="472" spans="1:4" x14ac:dyDescent="0.2">
      <c r="A472" t="s">
        <v>243</v>
      </c>
      <c r="B472">
        <v>30</v>
      </c>
      <c r="C472" t="s">
        <v>280</v>
      </c>
      <c r="D472">
        <v>30</v>
      </c>
    </row>
    <row r="473" spans="1:4" x14ac:dyDescent="0.2">
      <c r="A473" t="s">
        <v>243</v>
      </c>
      <c r="B473">
        <v>30</v>
      </c>
      <c r="C473" t="s">
        <v>281</v>
      </c>
      <c r="D473">
        <v>0</v>
      </c>
    </row>
    <row r="474" spans="1:4" x14ac:dyDescent="0.2">
      <c r="A474" t="s">
        <v>243</v>
      </c>
      <c r="B474">
        <v>30</v>
      </c>
      <c r="C474" t="s">
        <v>282</v>
      </c>
      <c r="D474">
        <v>0</v>
      </c>
    </row>
    <row r="475" spans="1:4" x14ac:dyDescent="0.2">
      <c r="A475" t="s">
        <v>243</v>
      </c>
      <c r="B475">
        <v>30</v>
      </c>
      <c r="C475" t="s">
        <v>283</v>
      </c>
      <c r="D475">
        <v>30</v>
      </c>
    </row>
    <row r="476" spans="1:4" x14ac:dyDescent="0.2">
      <c r="A476" t="s">
        <v>243</v>
      </c>
      <c r="B476">
        <v>30</v>
      </c>
      <c r="C476" t="s">
        <v>284</v>
      </c>
      <c r="D476">
        <v>0</v>
      </c>
    </row>
    <row r="477" spans="1:4" x14ac:dyDescent="0.2">
      <c r="A477" t="s">
        <v>243</v>
      </c>
      <c r="B477">
        <v>30</v>
      </c>
      <c r="C477" t="s">
        <v>19</v>
      </c>
      <c r="D477">
        <v>30</v>
      </c>
    </row>
    <row r="478" spans="1:4" x14ac:dyDescent="0.2">
      <c r="A478" t="s">
        <v>245</v>
      </c>
      <c r="B478">
        <v>46</v>
      </c>
      <c r="C478" t="s">
        <v>272</v>
      </c>
      <c r="D478">
        <v>0</v>
      </c>
    </row>
    <row r="479" spans="1:4" x14ac:dyDescent="0.2">
      <c r="A479" t="s">
        <v>245</v>
      </c>
      <c r="B479">
        <v>46</v>
      </c>
      <c r="C479" t="s">
        <v>273</v>
      </c>
      <c r="D479">
        <v>46</v>
      </c>
    </row>
    <row r="480" spans="1:4" x14ac:dyDescent="0.2">
      <c r="A480" t="s">
        <v>245</v>
      </c>
      <c r="B480">
        <v>46</v>
      </c>
      <c r="C480" t="s">
        <v>274</v>
      </c>
      <c r="D480">
        <v>0</v>
      </c>
    </row>
    <row r="481" spans="1:4" x14ac:dyDescent="0.2">
      <c r="A481" t="s">
        <v>245</v>
      </c>
      <c r="B481">
        <v>46</v>
      </c>
      <c r="C481" t="s">
        <v>275</v>
      </c>
      <c r="D481">
        <v>46</v>
      </c>
    </row>
    <row r="482" spans="1:4" x14ac:dyDescent="0.2">
      <c r="A482" t="s">
        <v>245</v>
      </c>
      <c r="B482">
        <v>46</v>
      </c>
      <c r="C482" t="s">
        <v>276</v>
      </c>
      <c r="D482">
        <v>0</v>
      </c>
    </row>
    <row r="483" spans="1:4" x14ac:dyDescent="0.2">
      <c r="A483" t="s">
        <v>245</v>
      </c>
      <c r="B483">
        <v>46</v>
      </c>
      <c r="C483" t="s">
        <v>277</v>
      </c>
      <c r="D483">
        <v>46</v>
      </c>
    </row>
    <row r="484" spans="1:4" x14ac:dyDescent="0.2">
      <c r="A484" t="s">
        <v>245</v>
      </c>
      <c r="B484">
        <v>46</v>
      </c>
      <c r="C484" t="s">
        <v>278</v>
      </c>
      <c r="D484">
        <v>46</v>
      </c>
    </row>
    <row r="485" spans="1:4" x14ac:dyDescent="0.2">
      <c r="A485" t="s">
        <v>245</v>
      </c>
      <c r="B485">
        <v>46</v>
      </c>
      <c r="C485" t="s">
        <v>279</v>
      </c>
      <c r="D485">
        <v>0</v>
      </c>
    </row>
    <row r="486" spans="1:4" x14ac:dyDescent="0.2">
      <c r="A486" t="s">
        <v>245</v>
      </c>
      <c r="B486">
        <v>46</v>
      </c>
      <c r="C486" t="s">
        <v>280</v>
      </c>
      <c r="D486">
        <v>46</v>
      </c>
    </row>
    <row r="487" spans="1:4" x14ac:dyDescent="0.2">
      <c r="A487" t="s">
        <v>245</v>
      </c>
      <c r="B487">
        <v>46</v>
      </c>
      <c r="C487" t="s">
        <v>281</v>
      </c>
      <c r="D487">
        <v>0</v>
      </c>
    </row>
    <row r="488" spans="1:4" x14ac:dyDescent="0.2">
      <c r="A488" t="s">
        <v>245</v>
      </c>
      <c r="B488">
        <v>46</v>
      </c>
      <c r="C488" t="s">
        <v>282</v>
      </c>
      <c r="D488">
        <v>0</v>
      </c>
    </row>
    <row r="489" spans="1:4" x14ac:dyDescent="0.2">
      <c r="A489" t="s">
        <v>245</v>
      </c>
      <c r="B489">
        <v>46</v>
      </c>
      <c r="C489" t="s">
        <v>283</v>
      </c>
      <c r="D489">
        <v>46</v>
      </c>
    </row>
    <row r="490" spans="1:4" x14ac:dyDescent="0.2">
      <c r="A490" t="s">
        <v>245</v>
      </c>
      <c r="B490">
        <v>46</v>
      </c>
      <c r="C490" t="s">
        <v>284</v>
      </c>
      <c r="D490">
        <v>0</v>
      </c>
    </row>
    <row r="491" spans="1:4" x14ac:dyDescent="0.2">
      <c r="A491" t="s">
        <v>245</v>
      </c>
      <c r="B491">
        <v>46</v>
      </c>
      <c r="C491" t="s">
        <v>19</v>
      </c>
      <c r="D491">
        <v>46</v>
      </c>
    </row>
    <row r="492" spans="1:4" x14ac:dyDescent="0.2">
      <c r="A492" t="s">
        <v>246</v>
      </c>
      <c r="B492">
        <v>65</v>
      </c>
      <c r="C492" t="s">
        <v>272</v>
      </c>
      <c r="D492">
        <v>0</v>
      </c>
    </row>
    <row r="493" spans="1:4" x14ac:dyDescent="0.2">
      <c r="A493" t="s">
        <v>246</v>
      </c>
      <c r="B493">
        <v>65</v>
      </c>
      <c r="C493" t="s">
        <v>273</v>
      </c>
      <c r="D493">
        <v>65</v>
      </c>
    </row>
    <row r="494" spans="1:4" x14ac:dyDescent="0.2">
      <c r="A494" t="s">
        <v>246</v>
      </c>
      <c r="B494">
        <v>65</v>
      </c>
      <c r="C494" t="s">
        <v>274</v>
      </c>
      <c r="D494">
        <v>0</v>
      </c>
    </row>
    <row r="495" spans="1:4" x14ac:dyDescent="0.2">
      <c r="A495" t="s">
        <v>246</v>
      </c>
      <c r="B495">
        <v>65</v>
      </c>
      <c r="C495" t="s">
        <v>275</v>
      </c>
      <c r="D495">
        <v>65</v>
      </c>
    </row>
    <row r="496" spans="1:4" x14ac:dyDescent="0.2">
      <c r="A496" t="s">
        <v>246</v>
      </c>
      <c r="B496">
        <v>65</v>
      </c>
      <c r="C496" t="s">
        <v>276</v>
      </c>
      <c r="D496">
        <v>0</v>
      </c>
    </row>
    <row r="497" spans="1:4" x14ac:dyDescent="0.2">
      <c r="A497" t="s">
        <v>246</v>
      </c>
      <c r="B497">
        <v>65</v>
      </c>
      <c r="C497" t="s">
        <v>277</v>
      </c>
      <c r="D497">
        <v>65</v>
      </c>
    </row>
    <row r="498" spans="1:4" x14ac:dyDescent="0.2">
      <c r="A498" t="s">
        <v>246</v>
      </c>
      <c r="B498">
        <v>65</v>
      </c>
      <c r="C498" t="s">
        <v>278</v>
      </c>
      <c r="D498">
        <v>65</v>
      </c>
    </row>
    <row r="499" spans="1:4" x14ac:dyDescent="0.2">
      <c r="A499" t="s">
        <v>246</v>
      </c>
      <c r="B499">
        <v>65</v>
      </c>
      <c r="C499" t="s">
        <v>279</v>
      </c>
      <c r="D499">
        <v>0</v>
      </c>
    </row>
    <row r="500" spans="1:4" x14ac:dyDescent="0.2">
      <c r="A500" t="s">
        <v>246</v>
      </c>
      <c r="B500">
        <v>65</v>
      </c>
      <c r="C500" t="s">
        <v>280</v>
      </c>
      <c r="D500">
        <v>65</v>
      </c>
    </row>
    <row r="501" spans="1:4" x14ac:dyDescent="0.2">
      <c r="A501" t="s">
        <v>246</v>
      </c>
      <c r="B501">
        <v>65</v>
      </c>
      <c r="C501" t="s">
        <v>281</v>
      </c>
      <c r="D501">
        <v>0</v>
      </c>
    </row>
    <row r="502" spans="1:4" x14ac:dyDescent="0.2">
      <c r="A502" t="s">
        <v>246</v>
      </c>
      <c r="B502">
        <v>65</v>
      </c>
      <c r="C502" t="s">
        <v>282</v>
      </c>
      <c r="D502">
        <v>0</v>
      </c>
    </row>
    <row r="503" spans="1:4" x14ac:dyDescent="0.2">
      <c r="A503" t="s">
        <v>246</v>
      </c>
      <c r="B503">
        <v>65</v>
      </c>
      <c r="C503" t="s">
        <v>283</v>
      </c>
      <c r="D503">
        <v>65</v>
      </c>
    </row>
    <row r="504" spans="1:4" x14ac:dyDescent="0.2">
      <c r="A504" t="s">
        <v>246</v>
      </c>
      <c r="B504">
        <v>65</v>
      </c>
      <c r="C504" t="s">
        <v>284</v>
      </c>
      <c r="D504">
        <v>0</v>
      </c>
    </row>
    <row r="505" spans="1:4" x14ac:dyDescent="0.2">
      <c r="A505" t="s">
        <v>246</v>
      </c>
      <c r="B505">
        <v>65</v>
      </c>
      <c r="C505" t="s">
        <v>19</v>
      </c>
      <c r="D505">
        <v>65</v>
      </c>
    </row>
    <row r="506" spans="1:4" x14ac:dyDescent="0.2">
      <c r="A506" t="s">
        <v>323</v>
      </c>
      <c r="B506">
        <v>37</v>
      </c>
      <c r="C506" t="s">
        <v>272</v>
      </c>
      <c r="D506">
        <v>0</v>
      </c>
    </row>
    <row r="507" spans="1:4" x14ac:dyDescent="0.2">
      <c r="A507" t="s">
        <v>323</v>
      </c>
      <c r="B507">
        <v>37</v>
      </c>
      <c r="C507" t="s">
        <v>273</v>
      </c>
      <c r="D507">
        <v>37</v>
      </c>
    </row>
    <row r="508" spans="1:4" x14ac:dyDescent="0.2">
      <c r="A508" t="s">
        <v>323</v>
      </c>
      <c r="B508">
        <v>37</v>
      </c>
      <c r="C508" t="s">
        <v>274</v>
      </c>
      <c r="D508">
        <v>0</v>
      </c>
    </row>
    <row r="509" spans="1:4" x14ac:dyDescent="0.2">
      <c r="A509" t="s">
        <v>323</v>
      </c>
      <c r="B509">
        <v>37</v>
      </c>
      <c r="C509" t="s">
        <v>275</v>
      </c>
      <c r="D509">
        <v>37</v>
      </c>
    </row>
    <row r="510" spans="1:4" x14ac:dyDescent="0.2">
      <c r="A510" t="s">
        <v>323</v>
      </c>
      <c r="B510">
        <v>37</v>
      </c>
      <c r="C510" t="s">
        <v>276</v>
      </c>
      <c r="D510">
        <v>0</v>
      </c>
    </row>
    <row r="511" spans="1:4" x14ac:dyDescent="0.2">
      <c r="A511" t="s">
        <v>323</v>
      </c>
      <c r="B511">
        <v>37</v>
      </c>
      <c r="C511" t="s">
        <v>277</v>
      </c>
      <c r="D511">
        <v>37</v>
      </c>
    </row>
    <row r="512" spans="1:4" x14ac:dyDescent="0.2">
      <c r="A512" t="s">
        <v>323</v>
      </c>
      <c r="B512">
        <v>37</v>
      </c>
      <c r="C512" t="s">
        <v>278</v>
      </c>
      <c r="D512">
        <v>37</v>
      </c>
    </row>
    <row r="513" spans="1:4" x14ac:dyDescent="0.2">
      <c r="A513" t="s">
        <v>323</v>
      </c>
      <c r="B513">
        <v>37</v>
      </c>
      <c r="C513" t="s">
        <v>279</v>
      </c>
      <c r="D513">
        <v>0</v>
      </c>
    </row>
    <row r="514" spans="1:4" x14ac:dyDescent="0.2">
      <c r="A514" t="s">
        <v>323</v>
      </c>
      <c r="B514">
        <v>37</v>
      </c>
      <c r="C514" t="s">
        <v>280</v>
      </c>
      <c r="D514">
        <v>37</v>
      </c>
    </row>
    <row r="515" spans="1:4" x14ac:dyDescent="0.2">
      <c r="A515" t="s">
        <v>323</v>
      </c>
      <c r="B515">
        <v>37</v>
      </c>
      <c r="C515" t="s">
        <v>281</v>
      </c>
      <c r="D515">
        <v>0</v>
      </c>
    </row>
    <row r="516" spans="1:4" x14ac:dyDescent="0.2">
      <c r="A516" t="s">
        <v>323</v>
      </c>
      <c r="B516">
        <v>37</v>
      </c>
      <c r="C516" t="s">
        <v>282</v>
      </c>
      <c r="D516">
        <v>0</v>
      </c>
    </row>
    <row r="517" spans="1:4" x14ac:dyDescent="0.2">
      <c r="A517" t="s">
        <v>323</v>
      </c>
      <c r="B517">
        <v>37</v>
      </c>
      <c r="C517" t="s">
        <v>283</v>
      </c>
      <c r="D517">
        <v>37</v>
      </c>
    </row>
    <row r="518" spans="1:4" x14ac:dyDescent="0.2">
      <c r="A518" t="s">
        <v>323</v>
      </c>
      <c r="B518">
        <v>37</v>
      </c>
      <c r="C518" t="s">
        <v>284</v>
      </c>
      <c r="D518">
        <v>0</v>
      </c>
    </row>
    <row r="519" spans="1:4" x14ac:dyDescent="0.2">
      <c r="A519" t="s">
        <v>323</v>
      </c>
      <c r="B519">
        <v>37</v>
      </c>
      <c r="C519" t="s">
        <v>19</v>
      </c>
      <c r="D519">
        <v>37</v>
      </c>
    </row>
    <row r="520" spans="1:4" x14ac:dyDescent="0.2">
      <c r="A520" t="s">
        <v>249</v>
      </c>
      <c r="B520">
        <v>29</v>
      </c>
      <c r="C520" t="s">
        <v>272</v>
      </c>
      <c r="D520">
        <v>0</v>
      </c>
    </row>
    <row r="521" spans="1:4" x14ac:dyDescent="0.2">
      <c r="A521" t="s">
        <v>249</v>
      </c>
      <c r="B521">
        <v>29</v>
      </c>
      <c r="C521" t="s">
        <v>273</v>
      </c>
      <c r="D521">
        <v>29</v>
      </c>
    </row>
    <row r="522" spans="1:4" x14ac:dyDescent="0.2">
      <c r="A522" t="s">
        <v>249</v>
      </c>
      <c r="B522">
        <v>29</v>
      </c>
      <c r="C522" t="s">
        <v>274</v>
      </c>
      <c r="D522">
        <v>0</v>
      </c>
    </row>
    <row r="523" spans="1:4" x14ac:dyDescent="0.2">
      <c r="A523" t="s">
        <v>249</v>
      </c>
      <c r="B523">
        <v>29</v>
      </c>
      <c r="C523" t="s">
        <v>275</v>
      </c>
      <c r="D523">
        <v>29</v>
      </c>
    </row>
    <row r="524" spans="1:4" x14ac:dyDescent="0.2">
      <c r="A524" t="s">
        <v>249</v>
      </c>
      <c r="B524">
        <v>29</v>
      </c>
      <c r="C524" t="s">
        <v>276</v>
      </c>
      <c r="D524">
        <v>0</v>
      </c>
    </row>
    <row r="525" spans="1:4" x14ac:dyDescent="0.2">
      <c r="A525" t="s">
        <v>249</v>
      </c>
      <c r="B525">
        <v>29</v>
      </c>
      <c r="C525" t="s">
        <v>277</v>
      </c>
      <c r="D525">
        <v>29</v>
      </c>
    </row>
    <row r="526" spans="1:4" x14ac:dyDescent="0.2">
      <c r="A526" t="s">
        <v>249</v>
      </c>
      <c r="B526">
        <v>29</v>
      </c>
      <c r="C526" t="s">
        <v>278</v>
      </c>
      <c r="D526">
        <v>29</v>
      </c>
    </row>
    <row r="527" spans="1:4" x14ac:dyDescent="0.2">
      <c r="A527" t="s">
        <v>249</v>
      </c>
      <c r="B527">
        <v>29</v>
      </c>
      <c r="C527" t="s">
        <v>279</v>
      </c>
      <c r="D527">
        <v>0</v>
      </c>
    </row>
    <row r="528" spans="1:4" x14ac:dyDescent="0.2">
      <c r="A528" t="s">
        <v>249</v>
      </c>
      <c r="B528">
        <v>29</v>
      </c>
      <c r="C528" t="s">
        <v>280</v>
      </c>
      <c r="D528">
        <v>29</v>
      </c>
    </row>
    <row r="529" spans="1:4" x14ac:dyDescent="0.2">
      <c r="A529" t="s">
        <v>249</v>
      </c>
      <c r="B529">
        <v>29</v>
      </c>
      <c r="C529" t="s">
        <v>281</v>
      </c>
      <c r="D529">
        <v>0</v>
      </c>
    </row>
    <row r="530" spans="1:4" x14ac:dyDescent="0.2">
      <c r="A530" t="s">
        <v>249</v>
      </c>
      <c r="B530">
        <v>29</v>
      </c>
      <c r="C530" t="s">
        <v>282</v>
      </c>
      <c r="D530">
        <v>0</v>
      </c>
    </row>
    <row r="531" spans="1:4" x14ac:dyDescent="0.2">
      <c r="A531" t="s">
        <v>249</v>
      </c>
      <c r="B531">
        <v>29</v>
      </c>
      <c r="C531" t="s">
        <v>283</v>
      </c>
      <c r="D531">
        <v>29</v>
      </c>
    </row>
    <row r="532" spans="1:4" x14ac:dyDescent="0.2">
      <c r="A532" t="s">
        <v>249</v>
      </c>
      <c r="B532">
        <v>29</v>
      </c>
      <c r="C532" t="s">
        <v>284</v>
      </c>
      <c r="D532">
        <v>0</v>
      </c>
    </row>
    <row r="533" spans="1:4" x14ac:dyDescent="0.2">
      <c r="A533" t="s">
        <v>249</v>
      </c>
      <c r="B533">
        <v>29</v>
      </c>
      <c r="C533" t="s">
        <v>19</v>
      </c>
      <c r="D533">
        <v>29</v>
      </c>
    </row>
    <row r="534" spans="1:4" x14ac:dyDescent="0.2">
      <c r="A534" t="s">
        <v>250</v>
      </c>
      <c r="B534">
        <v>17</v>
      </c>
      <c r="C534" t="s">
        <v>272</v>
      </c>
      <c r="D534">
        <v>0</v>
      </c>
    </row>
    <row r="535" spans="1:4" x14ac:dyDescent="0.2">
      <c r="A535" t="s">
        <v>250</v>
      </c>
      <c r="B535">
        <v>17</v>
      </c>
      <c r="C535" t="s">
        <v>273</v>
      </c>
      <c r="D535">
        <v>17</v>
      </c>
    </row>
    <row r="536" spans="1:4" x14ac:dyDescent="0.2">
      <c r="A536" t="s">
        <v>250</v>
      </c>
      <c r="B536">
        <v>17</v>
      </c>
      <c r="C536" t="s">
        <v>274</v>
      </c>
      <c r="D536">
        <v>0</v>
      </c>
    </row>
    <row r="537" spans="1:4" x14ac:dyDescent="0.2">
      <c r="A537" t="s">
        <v>250</v>
      </c>
      <c r="B537">
        <v>17</v>
      </c>
      <c r="C537" t="s">
        <v>275</v>
      </c>
      <c r="D537">
        <v>17</v>
      </c>
    </row>
    <row r="538" spans="1:4" x14ac:dyDescent="0.2">
      <c r="A538" t="s">
        <v>250</v>
      </c>
      <c r="B538">
        <v>17</v>
      </c>
      <c r="C538" t="s">
        <v>276</v>
      </c>
      <c r="D538">
        <v>0</v>
      </c>
    </row>
    <row r="539" spans="1:4" x14ac:dyDescent="0.2">
      <c r="A539" t="s">
        <v>250</v>
      </c>
      <c r="B539">
        <v>17</v>
      </c>
      <c r="C539" t="s">
        <v>277</v>
      </c>
      <c r="D539">
        <v>17</v>
      </c>
    </row>
    <row r="540" spans="1:4" x14ac:dyDescent="0.2">
      <c r="A540" t="s">
        <v>250</v>
      </c>
      <c r="B540">
        <v>17</v>
      </c>
      <c r="C540" t="s">
        <v>278</v>
      </c>
      <c r="D540">
        <v>17</v>
      </c>
    </row>
    <row r="541" spans="1:4" x14ac:dyDescent="0.2">
      <c r="A541" t="s">
        <v>250</v>
      </c>
      <c r="B541">
        <v>17</v>
      </c>
      <c r="C541" t="s">
        <v>279</v>
      </c>
      <c r="D541">
        <v>0</v>
      </c>
    </row>
    <row r="542" spans="1:4" x14ac:dyDescent="0.2">
      <c r="A542" t="s">
        <v>250</v>
      </c>
      <c r="B542">
        <v>17</v>
      </c>
      <c r="C542" t="s">
        <v>280</v>
      </c>
      <c r="D542">
        <v>17</v>
      </c>
    </row>
    <row r="543" spans="1:4" x14ac:dyDescent="0.2">
      <c r="A543" t="s">
        <v>250</v>
      </c>
      <c r="B543">
        <v>17</v>
      </c>
      <c r="C543" t="s">
        <v>281</v>
      </c>
      <c r="D543">
        <v>0</v>
      </c>
    </row>
    <row r="544" spans="1:4" x14ac:dyDescent="0.2">
      <c r="A544" t="s">
        <v>250</v>
      </c>
      <c r="B544">
        <v>17</v>
      </c>
      <c r="C544" t="s">
        <v>282</v>
      </c>
      <c r="D544">
        <v>0</v>
      </c>
    </row>
    <row r="545" spans="1:4" x14ac:dyDescent="0.2">
      <c r="A545" t="s">
        <v>250</v>
      </c>
      <c r="B545">
        <v>17</v>
      </c>
      <c r="C545" t="s">
        <v>283</v>
      </c>
      <c r="D545">
        <v>17</v>
      </c>
    </row>
    <row r="546" spans="1:4" x14ac:dyDescent="0.2">
      <c r="A546" t="s">
        <v>250</v>
      </c>
      <c r="B546">
        <v>17</v>
      </c>
      <c r="C546" t="s">
        <v>284</v>
      </c>
      <c r="D546">
        <v>0</v>
      </c>
    </row>
    <row r="547" spans="1:4" x14ac:dyDescent="0.2">
      <c r="A547" t="s">
        <v>250</v>
      </c>
      <c r="B547">
        <v>17</v>
      </c>
      <c r="C547" t="s">
        <v>19</v>
      </c>
      <c r="D547">
        <v>17</v>
      </c>
    </row>
    <row r="548" spans="1:4" x14ac:dyDescent="0.2">
      <c r="A548" t="s">
        <v>251</v>
      </c>
      <c r="B548">
        <v>25</v>
      </c>
      <c r="C548" t="s">
        <v>272</v>
      </c>
      <c r="D548">
        <v>0</v>
      </c>
    </row>
    <row r="549" spans="1:4" x14ac:dyDescent="0.2">
      <c r="A549" t="s">
        <v>251</v>
      </c>
      <c r="B549">
        <v>25</v>
      </c>
      <c r="C549" t="s">
        <v>273</v>
      </c>
      <c r="D549">
        <v>25</v>
      </c>
    </row>
    <row r="550" spans="1:4" x14ac:dyDescent="0.2">
      <c r="A550" t="s">
        <v>251</v>
      </c>
      <c r="B550">
        <v>25</v>
      </c>
      <c r="C550" t="s">
        <v>274</v>
      </c>
      <c r="D550">
        <v>0</v>
      </c>
    </row>
    <row r="551" spans="1:4" x14ac:dyDescent="0.2">
      <c r="A551" t="s">
        <v>251</v>
      </c>
      <c r="B551">
        <v>25</v>
      </c>
      <c r="C551" t="s">
        <v>275</v>
      </c>
      <c r="D551">
        <v>25</v>
      </c>
    </row>
    <row r="552" spans="1:4" x14ac:dyDescent="0.2">
      <c r="A552" t="s">
        <v>251</v>
      </c>
      <c r="B552">
        <v>25</v>
      </c>
      <c r="C552" t="s">
        <v>276</v>
      </c>
      <c r="D552">
        <v>0</v>
      </c>
    </row>
    <row r="553" spans="1:4" x14ac:dyDescent="0.2">
      <c r="A553" t="s">
        <v>251</v>
      </c>
      <c r="B553">
        <v>25</v>
      </c>
      <c r="C553" t="s">
        <v>277</v>
      </c>
      <c r="D553">
        <v>25</v>
      </c>
    </row>
    <row r="554" spans="1:4" x14ac:dyDescent="0.2">
      <c r="A554" t="s">
        <v>251</v>
      </c>
      <c r="B554">
        <v>25</v>
      </c>
      <c r="C554" t="s">
        <v>278</v>
      </c>
      <c r="D554">
        <v>25</v>
      </c>
    </row>
    <row r="555" spans="1:4" x14ac:dyDescent="0.2">
      <c r="A555" t="s">
        <v>251</v>
      </c>
      <c r="B555">
        <v>25</v>
      </c>
      <c r="C555" t="s">
        <v>279</v>
      </c>
      <c r="D555">
        <v>0</v>
      </c>
    </row>
    <row r="556" spans="1:4" x14ac:dyDescent="0.2">
      <c r="A556" t="s">
        <v>251</v>
      </c>
      <c r="B556">
        <v>25</v>
      </c>
      <c r="C556" t="s">
        <v>280</v>
      </c>
      <c r="D556">
        <v>25</v>
      </c>
    </row>
    <row r="557" spans="1:4" x14ac:dyDescent="0.2">
      <c r="A557" t="s">
        <v>251</v>
      </c>
      <c r="B557">
        <v>25</v>
      </c>
      <c r="C557" t="s">
        <v>281</v>
      </c>
      <c r="D557">
        <v>0</v>
      </c>
    </row>
    <row r="558" spans="1:4" x14ac:dyDescent="0.2">
      <c r="A558" t="s">
        <v>251</v>
      </c>
      <c r="B558">
        <v>25</v>
      </c>
      <c r="C558" t="s">
        <v>282</v>
      </c>
      <c r="D558">
        <v>0</v>
      </c>
    </row>
    <row r="559" spans="1:4" x14ac:dyDescent="0.2">
      <c r="A559" t="s">
        <v>251</v>
      </c>
      <c r="B559">
        <v>25</v>
      </c>
      <c r="C559" t="s">
        <v>283</v>
      </c>
      <c r="D559">
        <v>25</v>
      </c>
    </row>
    <row r="560" spans="1:4" x14ac:dyDescent="0.2">
      <c r="A560" t="s">
        <v>251</v>
      </c>
      <c r="B560">
        <v>25</v>
      </c>
      <c r="C560" t="s">
        <v>284</v>
      </c>
      <c r="D560">
        <v>0</v>
      </c>
    </row>
    <row r="561" spans="1:4" x14ac:dyDescent="0.2">
      <c r="A561" t="s">
        <v>251</v>
      </c>
      <c r="B561">
        <v>25</v>
      </c>
      <c r="C561" t="s">
        <v>19</v>
      </c>
      <c r="D561">
        <v>25</v>
      </c>
    </row>
    <row r="562" spans="1:4" x14ac:dyDescent="0.2">
      <c r="A562" t="s">
        <v>252</v>
      </c>
      <c r="B562">
        <v>27</v>
      </c>
      <c r="C562" t="s">
        <v>272</v>
      </c>
      <c r="D562">
        <v>0</v>
      </c>
    </row>
    <row r="563" spans="1:4" x14ac:dyDescent="0.2">
      <c r="A563" t="s">
        <v>252</v>
      </c>
      <c r="B563">
        <v>27</v>
      </c>
      <c r="C563" t="s">
        <v>273</v>
      </c>
      <c r="D563">
        <v>27</v>
      </c>
    </row>
    <row r="564" spans="1:4" x14ac:dyDescent="0.2">
      <c r="A564" t="s">
        <v>252</v>
      </c>
      <c r="B564">
        <v>27</v>
      </c>
      <c r="C564" t="s">
        <v>274</v>
      </c>
      <c r="D564">
        <v>0</v>
      </c>
    </row>
    <row r="565" spans="1:4" x14ac:dyDescent="0.2">
      <c r="A565" t="s">
        <v>252</v>
      </c>
      <c r="B565">
        <v>27</v>
      </c>
      <c r="C565" t="s">
        <v>275</v>
      </c>
      <c r="D565">
        <v>27</v>
      </c>
    </row>
    <row r="566" spans="1:4" x14ac:dyDescent="0.2">
      <c r="A566" t="s">
        <v>252</v>
      </c>
      <c r="B566">
        <v>27</v>
      </c>
      <c r="C566" t="s">
        <v>276</v>
      </c>
      <c r="D566">
        <v>0</v>
      </c>
    </row>
    <row r="567" spans="1:4" x14ac:dyDescent="0.2">
      <c r="A567" t="s">
        <v>252</v>
      </c>
      <c r="B567">
        <v>27</v>
      </c>
      <c r="C567" t="s">
        <v>277</v>
      </c>
      <c r="D567">
        <v>27</v>
      </c>
    </row>
    <row r="568" spans="1:4" x14ac:dyDescent="0.2">
      <c r="A568" t="s">
        <v>252</v>
      </c>
      <c r="B568">
        <v>27</v>
      </c>
      <c r="C568" t="s">
        <v>278</v>
      </c>
      <c r="D568">
        <v>27</v>
      </c>
    </row>
    <row r="569" spans="1:4" x14ac:dyDescent="0.2">
      <c r="A569" t="s">
        <v>252</v>
      </c>
      <c r="B569">
        <v>27</v>
      </c>
      <c r="C569" t="s">
        <v>279</v>
      </c>
      <c r="D569">
        <v>0</v>
      </c>
    </row>
    <row r="570" spans="1:4" x14ac:dyDescent="0.2">
      <c r="A570" t="s">
        <v>252</v>
      </c>
      <c r="B570">
        <v>27</v>
      </c>
      <c r="C570" t="s">
        <v>280</v>
      </c>
      <c r="D570">
        <v>27</v>
      </c>
    </row>
    <row r="571" spans="1:4" x14ac:dyDescent="0.2">
      <c r="A571" t="s">
        <v>252</v>
      </c>
      <c r="B571">
        <v>27</v>
      </c>
      <c r="C571" t="s">
        <v>281</v>
      </c>
      <c r="D571">
        <v>0</v>
      </c>
    </row>
    <row r="572" spans="1:4" x14ac:dyDescent="0.2">
      <c r="A572" t="s">
        <v>252</v>
      </c>
      <c r="B572">
        <v>27</v>
      </c>
      <c r="C572" t="s">
        <v>282</v>
      </c>
      <c r="D572">
        <v>0</v>
      </c>
    </row>
    <row r="573" spans="1:4" x14ac:dyDescent="0.2">
      <c r="A573" t="s">
        <v>252</v>
      </c>
      <c r="B573">
        <v>27</v>
      </c>
      <c r="C573" t="s">
        <v>283</v>
      </c>
      <c r="D573">
        <v>27</v>
      </c>
    </row>
    <row r="574" spans="1:4" x14ac:dyDescent="0.2">
      <c r="A574" t="s">
        <v>252</v>
      </c>
      <c r="B574">
        <v>27</v>
      </c>
      <c r="C574" t="s">
        <v>284</v>
      </c>
      <c r="D574">
        <v>0</v>
      </c>
    </row>
    <row r="575" spans="1:4" x14ac:dyDescent="0.2">
      <c r="A575" t="s">
        <v>252</v>
      </c>
      <c r="B575">
        <v>27</v>
      </c>
      <c r="C575" t="s">
        <v>19</v>
      </c>
      <c r="D575">
        <v>27</v>
      </c>
    </row>
    <row r="576" spans="1:4" x14ac:dyDescent="0.2">
      <c r="A576" t="s">
        <v>253</v>
      </c>
      <c r="B576">
        <v>28</v>
      </c>
      <c r="C576" t="s">
        <v>272</v>
      </c>
      <c r="D576">
        <v>0</v>
      </c>
    </row>
    <row r="577" spans="1:4" x14ac:dyDescent="0.2">
      <c r="A577" t="s">
        <v>253</v>
      </c>
      <c r="B577">
        <v>28</v>
      </c>
      <c r="C577" t="s">
        <v>273</v>
      </c>
      <c r="D577">
        <v>28</v>
      </c>
    </row>
    <row r="578" spans="1:4" x14ac:dyDescent="0.2">
      <c r="A578" t="s">
        <v>253</v>
      </c>
      <c r="B578">
        <v>28</v>
      </c>
      <c r="C578" t="s">
        <v>274</v>
      </c>
      <c r="D578">
        <v>0</v>
      </c>
    </row>
    <row r="579" spans="1:4" x14ac:dyDescent="0.2">
      <c r="A579" t="s">
        <v>253</v>
      </c>
      <c r="B579">
        <v>28</v>
      </c>
      <c r="C579" t="s">
        <v>275</v>
      </c>
      <c r="D579">
        <v>28</v>
      </c>
    </row>
    <row r="580" spans="1:4" x14ac:dyDescent="0.2">
      <c r="A580" t="s">
        <v>253</v>
      </c>
      <c r="B580">
        <v>28</v>
      </c>
      <c r="C580" t="s">
        <v>276</v>
      </c>
      <c r="D580">
        <v>0</v>
      </c>
    </row>
    <row r="581" spans="1:4" x14ac:dyDescent="0.2">
      <c r="A581" t="s">
        <v>253</v>
      </c>
      <c r="B581">
        <v>28</v>
      </c>
      <c r="C581" t="s">
        <v>277</v>
      </c>
      <c r="D581">
        <v>28</v>
      </c>
    </row>
    <row r="582" spans="1:4" x14ac:dyDescent="0.2">
      <c r="A582" t="s">
        <v>253</v>
      </c>
      <c r="B582">
        <v>28</v>
      </c>
      <c r="C582" t="s">
        <v>278</v>
      </c>
      <c r="D582">
        <v>28</v>
      </c>
    </row>
    <row r="583" spans="1:4" x14ac:dyDescent="0.2">
      <c r="A583" t="s">
        <v>253</v>
      </c>
      <c r="B583">
        <v>28</v>
      </c>
      <c r="C583" t="s">
        <v>279</v>
      </c>
      <c r="D583">
        <v>0</v>
      </c>
    </row>
    <row r="584" spans="1:4" x14ac:dyDescent="0.2">
      <c r="A584" t="s">
        <v>253</v>
      </c>
      <c r="B584">
        <v>28</v>
      </c>
      <c r="C584" t="s">
        <v>280</v>
      </c>
      <c r="D584">
        <v>28</v>
      </c>
    </row>
    <row r="585" spans="1:4" x14ac:dyDescent="0.2">
      <c r="A585" t="s">
        <v>253</v>
      </c>
      <c r="B585">
        <v>28</v>
      </c>
      <c r="C585" t="s">
        <v>281</v>
      </c>
      <c r="D585">
        <v>0</v>
      </c>
    </row>
    <row r="586" spans="1:4" x14ac:dyDescent="0.2">
      <c r="A586" t="s">
        <v>253</v>
      </c>
      <c r="B586">
        <v>28</v>
      </c>
      <c r="C586" t="s">
        <v>282</v>
      </c>
      <c r="D586">
        <v>0</v>
      </c>
    </row>
    <row r="587" spans="1:4" x14ac:dyDescent="0.2">
      <c r="A587" t="s">
        <v>253</v>
      </c>
      <c r="B587">
        <v>28</v>
      </c>
      <c r="C587" t="s">
        <v>283</v>
      </c>
      <c r="D587">
        <v>28</v>
      </c>
    </row>
    <row r="588" spans="1:4" x14ac:dyDescent="0.2">
      <c r="A588" t="s">
        <v>253</v>
      </c>
      <c r="B588">
        <v>28</v>
      </c>
      <c r="C588" t="s">
        <v>284</v>
      </c>
      <c r="D588">
        <v>0</v>
      </c>
    </row>
    <row r="589" spans="1:4" x14ac:dyDescent="0.2">
      <c r="A589" t="s">
        <v>253</v>
      </c>
      <c r="B589">
        <v>28</v>
      </c>
      <c r="C589" t="s">
        <v>19</v>
      </c>
      <c r="D589">
        <v>28</v>
      </c>
    </row>
    <row r="590" spans="1:4" x14ac:dyDescent="0.2">
      <c r="A590" t="s">
        <v>254</v>
      </c>
      <c r="B590">
        <v>65</v>
      </c>
      <c r="C590" t="s">
        <v>272</v>
      </c>
      <c r="D590">
        <v>0</v>
      </c>
    </row>
    <row r="591" spans="1:4" x14ac:dyDescent="0.2">
      <c r="A591" t="s">
        <v>254</v>
      </c>
      <c r="B591">
        <v>65</v>
      </c>
      <c r="C591" t="s">
        <v>273</v>
      </c>
      <c r="D591">
        <v>65</v>
      </c>
    </row>
    <row r="592" spans="1:4" x14ac:dyDescent="0.2">
      <c r="A592" t="s">
        <v>254</v>
      </c>
      <c r="B592">
        <v>65</v>
      </c>
      <c r="C592" t="s">
        <v>274</v>
      </c>
      <c r="D592">
        <v>0</v>
      </c>
    </row>
    <row r="593" spans="1:4" x14ac:dyDescent="0.2">
      <c r="A593" t="s">
        <v>254</v>
      </c>
      <c r="B593">
        <v>65</v>
      </c>
      <c r="C593" t="s">
        <v>275</v>
      </c>
      <c r="D593">
        <v>65</v>
      </c>
    </row>
    <row r="594" spans="1:4" x14ac:dyDescent="0.2">
      <c r="A594" t="s">
        <v>254</v>
      </c>
      <c r="B594">
        <v>65</v>
      </c>
      <c r="C594" t="s">
        <v>276</v>
      </c>
      <c r="D594">
        <v>0</v>
      </c>
    </row>
    <row r="595" spans="1:4" x14ac:dyDescent="0.2">
      <c r="A595" t="s">
        <v>254</v>
      </c>
      <c r="B595">
        <v>65</v>
      </c>
      <c r="C595" t="s">
        <v>277</v>
      </c>
      <c r="D595">
        <v>65</v>
      </c>
    </row>
    <row r="596" spans="1:4" x14ac:dyDescent="0.2">
      <c r="A596" t="s">
        <v>254</v>
      </c>
      <c r="B596">
        <v>65</v>
      </c>
      <c r="C596" t="s">
        <v>278</v>
      </c>
      <c r="D596">
        <v>65</v>
      </c>
    </row>
    <row r="597" spans="1:4" x14ac:dyDescent="0.2">
      <c r="A597" t="s">
        <v>254</v>
      </c>
      <c r="B597">
        <v>65</v>
      </c>
      <c r="C597" t="s">
        <v>279</v>
      </c>
      <c r="D597">
        <v>0</v>
      </c>
    </row>
    <row r="598" spans="1:4" x14ac:dyDescent="0.2">
      <c r="A598" t="s">
        <v>254</v>
      </c>
      <c r="B598">
        <v>65</v>
      </c>
      <c r="C598" t="s">
        <v>280</v>
      </c>
      <c r="D598">
        <v>65</v>
      </c>
    </row>
    <row r="599" spans="1:4" x14ac:dyDescent="0.2">
      <c r="A599" t="s">
        <v>254</v>
      </c>
      <c r="B599">
        <v>65</v>
      </c>
      <c r="C599" t="s">
        <v>281</v>
      </c>
      <c r="D599">
        <v>0</v>
      </c>
    </row>
    <row r="600" spans="1:4" x14ac:dyDescent="0.2">
      <c r="A600" t="s">
        <v>254</v>
      </c>
      <c r="B600">
        <v>65</v>
      </c>
      <c r="C600" t="s">
        <v>282</v>
      </c>
      <c r="D600">
        <v>0</v>
      </c>
    </row>
    <row r="601" spans="1:4" x14ac:dyDescent="0.2">
      <c r="A601" t="s">
        <v>254</v>
      </c>
      <c r="B601">
        <v>65</v>
      </c>
      <c r="C601" t="s">
        <v>283</v>
      </c>
      <c r="D601">
        <v>65</v>
      </c>
    </row>
    <row r="602" spans="1:4" x14ac:dyDescent="0.2">
      <c r="A602" t="s">
        <v>254</v>
      </c>
      <c r="B602">
        <v>65</v>
      </c>
      <c r="C602" t="s">
        <v>284</v>
      </c>
      <c r="D602">
        <v>0</v>
      </c>
    </row>
    <row r="603" spans="1:4" x14ac:dyDescent="0.2">
      <c r="A603" t="s">
        <v>254</v>
      </c>
      <c r="B603">
        <v>65</v>
      </c>
      <c r="C603" t="s">
        <v>19</v>
      </c>
      <c r="D603">
        <v>65</v>
      </c>
    </row>
    <row r="604" spans="1:4" x14ac:dyDescent="0.2">
      <c r="A604" t="s">
        <v>255</v>
      </c>
      <c r="B604">
        <v>26</v>
      </c>
      <c r="C604" t="s">
        <v>272</v>
      </c>
      <c r="D604">
        <v>0</v>
      </c>
    </row>
    <row r="605" spans="1:4" x14ac:dyDescent="0.2">
      <c r="A605" t="s">
        <v>255</v>
      </c>
      <c r="B605">
        <v>26</v>
      </c>
      <c r="C605" t="s">
        <v>273</v>
      </c>
      <c r="D605">
        <v>26</v>
      </c>
    </row>
    <row r="606" spans="1:4" x14ac:dyDescent="0.2">
      <c r="A606" t="s">
        <v>255</v>
      </c>
      <c r="B606">
        <v>26</v>
      </c>
      <c r="C606" t="s">
        <v>274</v>
      </c>
      <c r="D606">
        <v>0</v>
      </c>
    </row>
    <row r="607" spans="1:4" x14ac:dyDescent="0.2">
      <c r="A607" t="s">
        <v>255</v>
      </c>
      <c r="B607">
        <v>26</v>
      </c>
      <c r="C607" t="s">
        <v>275</v>
      </c>
      <c r="D607">
        <v>26</v>
      </c>
    </row>
    <row r="608" spans="1:4" x14ac:dyDescent="0.2">
      <c r="A608" t="s">
        <v>255</v>
      </c>
      <c r="B608">
        <v>26</v>
      </c>
      <c r="C608" t="s">
        <v>276</v>
      </c>
      <c r="D608">
        <v>0</v>
      </c>
    </row>
    <row r="609" spans="1:4" x14ac:dyDescent="0.2">
      <c r="A609" t="s">
        <v>255</v>
      </c>
      <c r="B609">
        <v>26</v>
      </c>
      <c r="C609" t="s">
        <v>277</v>
      </c>
      <c r="D609">
        <v>26</v>
      </c>
    </row>
    <row r="610" spans="1:4" x14ac:dyDescent="0.2">
      <c r="A610" t="s">
        <v>255</v>
      </c>
      <c r="B610">
        <v>26</v>
      </c>
      <c r="C610" t="s">
        <v>278</v>
      </c>
      <c r="D610">
        <v>26</v>
      </c>
    </row>
    <row r="611" spans="1:4" x14ac:dyDescent="0.2">
      <c r="A611" t="s">
        <v>255</v>
      </c>
      <c r="B611">
        <v>26</v>
      </c>
      <c r="C611" t="s">
        <v>279</v>
      </c>
      <c r="D611">
        <v>0</v>
      </c>
    </row>
    <row r="612" spans="1:4" x14ac:dyDescent="0.2">
      <c r="A612" t="s">
        <v>255</v>
      </c>
      <c r="B612">
        <v>26</v>
      </c>
      <c r="C612" t="s">
        <v>280</v>
      </c>
      <c r="D612">
        <v>26</v>
      </c>
    </row>
    <row r="613" spans="1:4" x14ac:dyDescent="0.2">
      <c r="A613" t="s">
        <v>255</v>
      </c>
      <c r="B613">
        <v>26</v>
      </c>
      <c r="C613" t="s">
        <v>281</v>
      </c>
      <c r="D613">
        <v>0</v>
      </c>
    </row>
    <row r="614" spans="1:4" x14ac:dyDescent="0.2">
      <c r="A614" t="s">
        <v>255</v>
      </c>
      <c r="B614">
        <v>26</v>
      </c>
      <c r="C614" t="s">
        <v>282</v>
      </c>
      <c r="D614">
        <v>0</v>
      </c>
    </row>
    <row r="615" spans="1:4" x14ac:dyDescent="0.2">
      <c r="A615" t="s">
        <v>255</v>
      </c>
      <c r="B615">
        <v>26</v>
      </c>
      <c r="C615" t="s">
        <v>283</v>
      </c>
      <c r="D615">
        <v>26</v>
      </c>
    </row>
    <row r="616" spans="1:4" x14ac:dyDescent="0.2">
      <c r="A616" t="s">
        <v>255</v>
      </c>
      <c r="B616">
        <v>26</v>
      </c>
      <c r="C616" t="s">
        <v>284</v>
      </c>
      <c r="D616">
        <v>0</v>
      </c>
    </row>
    <row r="617" spans="1:4" x14ac:dyDescent="0.2">
      <c r="A617" t="s">
        <v>255</v>
      </c>
      <c r="B617">
        <v>26</v>
      </c>
      <c r="C617" t="s">
        <v>19</v>
      </c>
      <c r="D617">
        <v>26</v>
      </c>
    </row>
    <row r="618" spans="1:4" x14ac:dyDescent="0.2">
      <c r="A618" t="s">
        <v>256</v>
      </c>
      <c r="B618">
        <v>29</v>
      </c>
      <c r="C618" t="s">
        <v>272</v>
      </c>
      <c r="D618">
        <v>0</v>
      </c>
    </row>
    <row r="619" spans="1:4" x14ac:dyDescent="0.2">
      <c r="A619" t="s">
        <v>256</v>
      </c>
      <c r="B619">
        <v>29</v>
      </c>
      <c r="C619" t="s">
        <v>273</v>
      </c>
      <c r="D619">
        <v>29</v>
      </c>
    </row>
    <row r="620" spans="1:4" x14ac:dyDescent="0.2">
      <c r="A620" t="s">
        <v>256</v>
      </c>
      <c r="B620">
        <v>29</v>
      </c>
      <c r="C620" t="s">
        <v>274</v>
      </c>
      <c r="D620">
        <v>0</v>
      </c>
    </row>
    <row r="621" spans="1:4" x14ac:dyDescent="0.2">
      <c r="A621" t="s">
        <v>256</v>
      </c>
      <c r="B621">
        <v>29</v>
      </c>
      <c r="C621" t="s">
        <v>275</v>
      </c>
      <c r="D621">
        <v>29</v>
      </c>
    </row>
    <row r="622" spans="1:4" x14ac:dyDescent="0.2">
      <c r="A622" t="s">
        <v>256</v>
      </c>
      <c r="B622">
        <v>29</v>
      </c>
      <c r="C622" t="s">
        <v>276</v>
      </c>
      <c r="D622">
        <v>0</v>
      </c>
    </row>
    <row r="623" spans="1:4" x14ac:dyDescent="0.2">
      <c r="A623" t="s">
        <v>256</v>
      </c>
      <c r="B623">
        <v>29</v>
      </c>
      <c r="C623" t="s">
        <v>277</v>
      </c>
      <c r="D623">
        <v>29</v>
      </c>
    </row>
    <row r="624" spans="1:4" x14ac:dyDescent="0.2">
      <c r="A624" t="s">
        <v>256</v>
      </c>
      <c r="B624">
        <v>29</v>
      </c>
      <c r="C624" t="s">
        <v>278</v>
      </c>
      <c r="D624">
        <v>29</v>
      </c>
    </row>
    <row r="625" spans="1:4" x14ac:dyDescent="0.2">
      <c r="A625" t="s">
        <v>256</v>
      </c>
      <c r="B625">
        <v>29</v>
      </c>
      <c r="C625" t="s">
        <v>279</v>
      </c>
      <c r="D625">
        <v>0</v>
      </c>
    </row>
    <row r="626" spans="1:4" x14ac:dyDescent="0.2">
      <c r="A626" t="s">
        <v>256</v>
      </c>
      <c r="B626">
        <v>29</v>
      </c>
      <c r="C626" t="s">
        <v>280</v>
      </c>
      <c r="D626">
        <v>29</v>
      </c>
    </row>
    <row r="627" spans="1:4" x14ac:dyDescent="0.2">
      <c r="A627" t="s">
        <v>256</v>
      </c>
      <c r="B627">
        <v>29</v>
      </c>
      <c r="C627" t="s">
        <v>281</v>
      </c>
      <c r="D627">
        <v>0</v>
      </c>
    </row>
    <row r="628" spans="1:4" x14ac:dyDescent="0.2">
      <c r="A628" t="s">
        <v>256</v>
      </c>
      <c r="B628">
        <v>29</v>
      </c>
      <c r="C628" t="s">
        <v>282</v>
      </c>
      <c r="D628">
        <v>0</v>
      </c>
    </row>
    <row r="629" spans="1:4" x14ac:dyDescent="0.2">
      <c r="A629" t="s">
        <v>256</v>
      </c>
      <c r="B629">
        <v>29</v>
      </c>
      <c r="C629" t="s">
        <v>283</v>
      </c>
      <c r="D629">
        <v>29</v>
      </c>
    </row>
    <row r="630" spans="1:4" x14ac:dyDescent="0.2">
      <c r="A630" t="s">
        <v>256</v>
      </c>
      <c r="B630">
        <v>29</v>
      </c>
      <c r="C630" t="s">
        <v>284</v>
      </c>
      <c r="D630">
        <v>0</v>
      </c>
    </row>
    <row r="631" spans="1:4" x14ac:dyDescent="0.2">
      <c r="A631" t="s">
        <v>256</v>
      </c>
      <c r="B631">
        <v>29</v>
      </c>
      <c r="C631" t="s">
        <v>19</v>
      </c>
      <c r="D631">
        <v>29</v>
      </c>
    </row>
    <row r="632" spans="1:4" x14ac:dyDescent="0.2">
      <c r="A632" t="s">
        <v>257</v>
      </c>
      <c r="B632">
        <v>29</v>
      </c>
      <c r="C632" t="s">
        <v>272</v>
      </c>
      <c r="D632">
        <v>0</v>
      </c>
    </row>
    <row r="633" spans="1:4" x14ac:dyDescent="0.2">
      <c r="A633" t="s">
        <v>257</v>
      </c>
      <c r="B633">
        <v>29</v>
      </c>
      <c r="C633" t="s">
        <v>273</v>
      </c>
      <c r="D633">
        <v>29</v>
      </c>
    </row>
    <row r="634" spans="1:4" x14ac:dyDescent="0.2">
      <c r="A634" t="s">
        <v>257</v>
      </c>
      <c r="B634">
        <v>29</v>
      </c>
      <c r="C634" t="s">
        <v>274</v>
      </c>
      <c r="D634">
        <v>0</v>
      </c>
    </row>
    <row r="635" spans="1:4" x14ac:dyDescent="0.2">
      <c r="A635" t="s">
        <v>257</v>
      </c>
      <c r="B635">
        <v>29</v>
      </c>
      <c r="C635" t="s">
        <v>275</v>
      </c>
      <c r="D635">
        <v>29</v>
      </c>
    </row>
    <row r="636" spans="1:4" x14ac:dyDescent="0.2">
      <c r="A636" t="s">
        <v>257</v>
      </c>
      <c r="B636">
        <v>29</v>
      </c>
      <c r="C636" t="s">
        <v>276</v>
      </c>
      <c r="D636">
        <v>0</v>
      </c>
    </row>
    <row r="637" spans="1:4" x14ac:dyDescent="0.2">
      <c r="A637" t="s">
        <v>257</v>
      </c>
      <c r="B637">
        <v>29</v>
      </c>
      <c r="C637" t="s">
        <v>277</v>
      </c>
      <c r="D637">
        <v>29</v>
      </c>
    </row>
    <row r="638" spans="1:4" x14ac:dyDescent="0.2">
      <c r="A638" t="s">
        <v>257</v>
      </c>
      <c r="B638">
        <v>29</v>
      </c>
      <c r="C638" t="s">
        <v>278</v>
      </c>
      <c r="D638">
        <v>29</v>
      </c>
    </row>
    <row r="639" spans="1:4" x14ac:dyDescent="0.2">
      <c r="A639" t="s">
        <v>257</v>
      </c>
      <c r="B639">
        <v>29</v>
      </c>
      <c r="C639" t="s">
        <v>279</v>
      </c>
      <c r="D639">
        <v>0</v>
      </c>
    </row>
    <row r="640" spans="1:4" x14ac:dyDescent="0.2">
      <c r="A640" t="s">
        <v>257</v>
      </c>
      <c r="B640">
        <v>29</v>
      </c>
      <c r="C640" t="s">
        <v>280</v>
      </c>
      <c r="D640">
        <v>29</v>
      </c>
    </row>
    <row r="641" spans="1:4" x14ac:dyDescent="0.2">
      <c r="A641" t="s">
        <v>257</v>
      </c>
      <c r="B641">
        <v>29</v>
      </c>
      <c r="C641" t="s">
        <v>281</v>
      </c>
      <c r="D641">
        <v>0</v>
      </c>
    </row>
    <row r="642" spans="1:4" x14ac:dyDescent="0.2">
      <c r="A642" t="s">
        <v>257</v>
      </c>
      <c r="B642">
        <v>29</v>
      </c>
      <c r="C642" t="s">
        <v>282</v>
      </c>
      <c r="D642">
        <v>0</v>
      </c>
    </row>
    <row r="643" spans="1:4" x14ac:dyDescent="0.2">
      <c r="A643" t="s">
        <v>257</v>
      </c>
      <c r="B643">
        <v>29</v>
      </c>
      <c r="C643" t="s">
        <v>283</v>
      </c>
      <c r="D643">
        <v>29</v>
      </c>
    </row>
    <row r="644" spans="1:4" x14ac:dyDescent="0.2">
      <c r="A644" t="s">
        <v>257</v>
      </c>
      <c r="B644">
        <v>29</v>
      </c>
      <c r="C644" t="s">
        <v>284</v>
      </c>
      <c r="D644">
        <v>0</v>
      </c>
    </row>
    <row r="645" spans="1:4" x14ac:dyDescent="0.2">
      <c r="A645" t="s">
        <v>257</v>
      </c>
      <c r="B645">
        <v>29</v>
      </c>
      <c r="C645" t="s">
        <v>19</v>
      </c>
      <c r="D645">
        <v>29</v>
      </c>
    </row>
    <row r="646" spans="1:4" x14ac:dyDescent="0.2">
      <c r="A646" t="s">
        <v>258</v>
      </c>
      <c r="B646">
        <v>47</v>
      </c>
      <c r="C646" t="s">
        <v>272</v>
      </c>
      <c r="D646">
        <v>0</v>
      </c>
    </row>
    <row r="647" spans="1:4" x14ac:dyDescent="0.2">
      <c r="A647" t="s">
        <v>258</v>
      </c>
      <c r="B647">
        <v>47</v>
      </c>
      <c r="C647" t="s">
        <v>273</v>
      </c>
      <c r="D647">
        <v>47</v>
      </c>
    </row>
    <row r="648" spans="1:4" x14ac:dyDescent="0.2">
      <c r="A648" t="s">
        <v>258</v>
      </c>
      <c r="B648">
        <v>47</v>
      </c>
      <c r="C648" t="s">
        <v>274</v>
      </c>
      <c r="D648">
        <v>0</v>
      </c>
    </row>
    <row r="649" spans="1:4" x14ac:dyDescent="0.2">
      <c r="A649" t="s">
        <v>258</v>
      </c>
      <c r="B649">
        <v>47</v>
      </c>
      <c r="C649" t="s">
        <v>275</v>
      </c>
      <c r="D649">
        <v>47</v>
      </c>
    </row>
    <row r="650" spans="1:4" x14ac:dyDescent="0.2">
      <c r="A650" t="s">
        <v>258</v>
      </c>
      <c r="B650">
        <v>47</v>
      </c>
      <c r="C650" t="s">
        <v>276</v>
      </c>
      <c r="D650">
        <v>0</v>
      </c>
    </row>
    <row r="651" spans="1:4" x14ac:dyDescent="0.2">
      <c r="A651" t="s">
        <v>258</v>
      </c>
      <c r="B651">
        <v>47</v>
      </c>
      <c r="C651" t="s">
        <v>277</v>
      </c>
      <c r="D651">
        <v>47</v>
      </c>
    </row>
    <row r="652" spans="1:4" x14ac:dyDescent="0.2">
      <c r="A652" t="s">
        <v>258</v>
      </c>
      <c r="B652">
        <v>47</v>
      </c>
      <c r="C652" t="s">
        <v>278</v>
      </c>
      <c r="D652">
        <v>47</v>
      </c>
    </row>
    <row r="653" spans="1:4" x14ac:dyDescent="0.2">
      <c r="A653" t="s">
        <v>258</v>
      </c>
      <c r="B653">
        <v>47</v>
      </c>
      <c r="C653" t="s">
        <v>279</v>
      </c>
      <c r="D653">
        <v>0</v>
      </c>
    </row>
    <row r="654" spans="1:4" x14ac:dyDescent="0.2">
      <c r="A654" t="s">
        <v>258</v>
      </c>
      <c r="B654">
        <v>47</v>
      </c>
      <c r="C654" t="s">
        <v>280</v>
      </c>
      <c r="D654">
        <v>47</v>
      </c>
    </row>
    <row r="655" spans="1:4" x14ac:dyDescent="0.2">
      <c r="A655" t="s">
        <v>258</v>
      </c>
      <c r="B655">
        <v>47</v>
      </c>
      <c r="C655" t="s">
        <v>281</v>
      </c>
      <c r="D655">
        <v>0</v>
      </c>
    </row>
    <row r="656" spans="1:4" x14ac:dyDescent="0.2">
      <c r="A656" t="s">
        <v>258</v>
      </c>
      <c r="B656">
        <v>47</v>
      </c>
      <c r="C656" t="s">
        <v>282</v>
      </c>
      <c r="D656">
        <v>0</v>
      </c>
    </row>
    <row r="657" spans="1:4" x14ac:dyDescent="0.2">
      <c r="A657" t="s">
        <v>258</v>
      </c>
      <c r="B657">
        <v>47</v>
      </c>
      <c r="C657" t="s">
        <v>283</v>
      </c>
      <c r="D657">
        <v>47</v>
      </c>
    </row>
    <row r="658" spans="1:4" x14ac:dyDescent="0.2">
      <c r="A658" t="s">
        <v>258</v>
      </c>
      <c r="B658">
        <v>47</v>
      </c>
      <c r="C658" t="s">
        <v>284</v>
      </c>
      <c r="D658">
        <v>0</v>
      </c>
    </row>
    <row r="659" spans="1:4" x14ac:dyDescent="0.2">
      <c r="A659" t="s">
        <v>258</v>
      </c>
      <c r="B659">
        <v>47</v>
      </c>
      <c r="C659" t="s">
        <v>19</v>
      </c>
      <c r="D659">
        <v>47</v>
      </c>
    </row>
    <row r="660" spans="1:4" x14ac:dyDescent="0.2">
      <c r="A660" t="s">
        <v>259</v>
      </c>
      <c r="B660">
        <v>75</v>
      </c>
      <c r="C660" t="s">
        <v>272</v>
      </c>
      <c r="D660">
        <v>0</v>
      </c>
    </row>
    <row r="661" spans="1:4" x14ac:dyDescent="0.2">
      <c r="A661" t="s">
        <v>259</v>
      </c>
      <c r="B661">
        <v>75</v>
      </c>
      <c r="C661" t="s">
        <v>273</v>
      </c>
      <c r="D661">
        <v>75</v>
      </c>
    </row>
    <row r="662" spans="1:4" x14ac:dyDescent="0.2">
      <c r="A662" t="s">
        <v>259</v>
      </c>
      <c r="B662">
        <v>75</v>
      </c>
      <c r="C662" t="s">
        <v>274</v>
      </c>
      <c r="D662">
        <v>0</v>
      </c>
    </row>
    <row r="663" spans="1:4" x14ac:dyDescent="0.2">
      <c r="A663" t="s">
        <v>259</v>
      </c>
      <c r="B663">
        <v>75</v>
      </c>
      <c r="C663" t="s">
        <v>275</v>
      </c>
      <c r="D663">
        <v>75</v>
      </c>
    </row>
    <row r="664" spans="1:4" x14ac:dyDescent="0.2">
      <c r="A664" t="s">
        <v>259</v>
      </c>
      <c r="B664">
        <v>75</v>
      </c>
      <c r="C664" t="s">
        <v>276</v>
      </c>
      <c r="D664">
        <v>0</v>
      </c>
    </row>
    <row r="665" spans="1:4" x14ac:dyDescent="0.2">
      <c r="A665" t="s">
        <v>259</v>
      </c>
      <c r="B665">
        <v>75</v>
      </c>
      <c r="C665" t="s">
        <v>277</v>
      </c>
      <c r="D665">
        <v>75</v>
      </c>
    </row>
    <row r="666" spans="1:4" x14ac:dyDescent="0.2">
      <c r="A666" t="s">
        <v>259</v>
      </c>
      <c r="B666">
        <v>75</v>
      </c>
      <c r="C666" t="s">
        <v>278</v>
      </c>
      <c r="D666">
        <v>75</v>
      </c>
    </row>
    <row r="667" spans="1:4" x14ac:dyDescent="0.2">
      <c r="A667" t="s">
        <v>259</v>
      </c>
      <c r="B667">
        <v>75</v>
      </c>
      <c r="C667" t="s">
        <v>279</v>
      </c>
      <c r="D667">
        <v>0</v>
      </c>
    </row>
    <row r="668" spans="1:4" x14ac:dyDescent="0.2">
      <c r="A668" t="s">
        <v>259</v>
      </c>
      <c r="B668">
        <v>75</v>
      </c>
      <c r="C668" t="s">
        <v>280</v>
      </c>
      <c r="D668">
        <v>75</v>
      </c>
    </row>
    <row r="669" spans="1:4" x14ac:dyDescent="0.2">
      <c r="A669" t="s">
        <v>259</v>
      </c>
      <c r="B669">
        <v>75</v>
      </c>
      <c r="C669" t="s">
        <v>281</v>
      </c>
      <c r="D669">
        <v>0</v>
      </c>
    </row>
    <row r="670" spans="1:4" x14ac:dyDescent="0.2">
      <c r="A670" t="s">
        <v>259</v>
      </c>
      <c r="B670">
        <v>75</v>
      </c>
      <c r="C670" t="s">
        <v>282</v>
      </c>
      <c r="D670">
        <v>0</v>
      </c>
    </row>
    <row r="671" spans="1:4" x14ac:dyDescent="0.2">
      <c r="A671" t="s">
        <v>259</v>
      </c>
      <c r="B671">
        <v>75</v>
      </c>
      <c r="C671" t="s">
        <v>283</v>
      </c>
      <c r="D671">
        <v>75</v>
      </c>
    </row>
    <row r="672" spans="1:4" x14ac:dyDescent="0.2">
      <c r="A672" t="s">
        <v>259</v>
      </c>
      <c r="B672">
        <v>75</v>
      </c>
      <c r="C672" t="s">
        <v>284</v>
      </c>
      <c r="D672">
        <v>0</v>
      </c>
    </row>
    <row r="673" spans="1:4" x14ac:dyDescent="0.2">
      <c r="A673" t="s">
        <v>259</v>
      </c>
      <c r="B673">
        <v>75</v>
      </c>
      <c r="C673" t="s">
        <v>19</v>
      </c>
      <c r="D673">
        <v>75</v>
      </c>
    </row>
    <row r="674" spans="1:4" x14ac:dyDescent="0.2">
      <c r="A674" t="s">
        <v>260</v>
      </c>
      <c r="B674">
        <v>25</v>
      </c>
      <c r="C674" t="s">
        <v>272</v>
      </c>
      <c r="D674">
        <v>0</v>
      </c>
    </row>
    <row r="675" spans="1:4" x14ac:dyDescent="0.2">
      <c r="A675" t="s">
        <v>260</v>
      </c>
      <c r="B675">
        <v>25</v>
      </c>
      <c r="C675" t="s">
        <v>273</v>
      </c>
      <c r="D675">
        <v>25</v>
      </c>
    </row>
    <row r="676" spans="1:4" x14ac:dyDescent="0.2">
      <c r="A676" t="s">
        <v>260</v>
      </c>
      <c r="B676">
        <v>25</v>
      </c>
      <c r="C676" t="s">
        <v>274</v>
      </c>
      <c r="D676">
        <v>0</v>
      </c>
    </row>
    <row r="677" spans="1:4" x14ac:dyDescent="0.2">
      <c r="A677" t="s">
        <v>260</v>
      </c>
      <c r="B677">
        <v>25</v>
      </c>
      <c r="C677" t="s">
        <v>275</v>
      </c>
      <c r="D677">
        <v>25</v>
      </c>
    </row>
    <row r="678" spans="1:4" x14ac:dyDescent="0.2">
      <c r="A678" t="s">
        <v>260</v>
      </c>
      <c r="B678">
        <v>25</v>
      </c>
      <c r="C678" t="s">
        <v>276</v>
      </c>
      <c r="D678">
        <v>0</v>
      </c>
    </row>
    <row r="679" spans="1:4" x14ac:dyDescent="0.2">
      <c r="A679" t="s">
        <v>260</v>
      </c>
      <c r="B679">
        <v>25</v>
      </c>
      <c r="C679" t="s">
        <v>277</v>
      </c>
      <c r="D679">
        <v>25</v>
      </c>
    </row>
    <row r="680" spans="1:4" x14ac:dyDescent="0.2">
      <c r="A680" t="s">
        <v>260</v>
      </c>
      <c r="B680">
        <v>25</v>
      </c>
      <c r="C680" t="s">
        <v>278</v>
      </c>
      <c r="D680">
        <v>25</v>
      </c>
    </row>
    <row r="681" spans="1:4" x14ac:dyDescent="0.2">
      <c r="A681" t="s">
        <v>260</v>
      </c>
      <c r="B681">
        <v>25</v>
      </c>
      <c r="C681" t="s">
        <v>279</v>
      </c>
      <c r="D681">
        <v>0</v>
      </c>
    </row>
    <row r="682" spans="1:4" x14ac:dyDescent="0.2">
      <c r="A682" t="s">
        <v>260</v>
      </c>
      <c r="B682">
        <v>25</v>
      </c>
      <c r="C682" t="s">
        <v>280</v>
      </c>
      <c r="D682">
        <v>25</v>
      </c>
    </row>
    <row r="683" spans="1:4" x14ac:dyDescent="0.2">
      <c r="A683" t="s">
        <v>260</v>
      </c>
      <c r="B683">
        <v>25</v>
      </c>
      <c r="C683" t="s">
        <v>281</v>
      </c>
      <c r="D683">
        <v>0</v>
      </c>
    </row>
    <row r="684" spans="1:4" x14ac:dyDescent="0.2">
      <c r="A684" t="s">
        <v>260</v>
      </c>
      <c r="B684">
        <v>25</v>
      </c>
      <c r="C684" t="s">
        <v>282</v>
      </c>
      <c r="D684">
        <v>0</v>
      </c>
    </row>
    <row r="685" spans="1:4" x14ac:dyDescent="0.2">
      <c r="A685" t="s">
        <v>260</v>
      </c>
      <c r="B685">
        <v>25</v>
      </c>
      <c r="C685" t="s">
        <v>283</v>
      </c>
      <c r="D685">
        <v>25</v>
      </c>
    </row>
    <row r="686" spans="1:4" x14ac:dyDescent="0.2">
      <c r="A686" t="s">
        <v>260</v>
      </c>
      <c r="B686">
        <v>25</v>
      </c>
      <c r="C686" t="s">
        <v>284</v>
      </c>
      <c r="D686">
        <v>0</v>
      </c>
    </row>
    <row r="687" spans="1:4" x14ac:dyDescent="0.2">
      <c r="A687" t="s">
        <v>260</v>
      </c>
      <c r="B687">
        <v>25</v>
      </c>
      <c r="C687" t="s">
        <v>19</v>
      </c>
      <c r="D687">
        <v>25</v>
      </c>
    </row>
    <row r="688" spans="1:4" x14ac:dyDescent="0.2">
      <c r="A688" t="s">
        <v>261</v>
      </c>
      <c r="B688">
        <v>32</v>
      </c>
      <c r="C688" t="s">
        <v>272</v>
      </c>
      <c r="D688">
        <v>0</v>
      </c>
    </row>
    <row r="689" spans="1:4" x14ac:dyDescent="0.2">
      <c r="A689" t="s">
        <v>261</v>
      </c>
      <c r="B689">
        <v>32</v>
      </c>
      <c r="C689" t="s">
        <v>273</v>
      </c>
      <c r="D689">
        <v>32</v>
      </c>
    </row>
    <row r="690" spans="1:4" x14ac:dyDescent="0.2">
      <c r="A690" t="s">
        <v>261</v>
      </c>
      <c r="B690">
        <v>32</v>
      </c>
      <c r="C690" t="s">
        <v>274</v>
      </c>
      <c r="D690">
        <v>0</v>
      </c>
    </row>
    <row r="691" spans="1:4" x14ac:dyDescent="0.2">
      <c r="A691" t="s">
        <v>261</v>
      </c>
      <c r="B691">
        <v>32</v>
      </c>
      <c r="C691" t="s">
        <v>275</v>
      </c>
      <c r="D691">
        <v>32</v>
      </c>
    </row>
    <row r="692" spans="1:4" x14ac:dyDescent="0.2">
      <c r="A692" t="s">
        <v>261</v>
      </c>
      <c r="B692">
        <v>32</v>
      </c>
      <c r="C692" t="s">
        <v>276</v>
      </c>
      <c r="D692">
        <v>0</v>
      </c>
    </row>
    <row r="693" spans="1:4" x14ac:dyDescent="0.2">
      <c r="A693" t="s">
        <v>261</v>
      </c>
      <c r="B693">
        <v>32</v>
      </c>
      <c r="C693" t="s">
        <v>277</v>
      </c>
      <c r="D693">
        <v>32</v>
      </c>
    </row>
    <row r="694" spans="1:4" x14ac:dyDescent="0.2">
      <c r="A694" t="s">
        <v>261</v>
      </c>
      <c r="B694">
        <v>32</v>
      </c>
      <c r="C694" t="s">
        <v>278</v>
      </c>
      <c r="D694">
        <v>32</v>
      </c>
    </row>
    <row r="695" spans="1:4" x14ac:dyDescent="0.2">
      <c r="A695" t="s">
        <v>261</v>
      </c>
      <c r="B695">
        <v>32</v>
      </c>
      <c r="C695" t="s">
        <v>279</v>
      </c>
      <c r="D695">
        <v>0</v>
      </c>
    </row>
    <row r="696" spans="1:4" x14ac:dyDescent="0.2">
      <c r="A696" t="s">
        <v>261</v>
      </c>
      <c r="B696">
        <v>32</v>
      </c>
      <c r="C696" t="s">
        <v>280</v>
      </c>
      <c r="D696">
        <v>32</v>
      </c>
    </row>
    <row r="697" spans="1:4" x14ac:dyDescent="0.2">
      <c r="A697" t="s">
        <v>261</v>
      </c>
      <c r="B697">
        <v>32</v>
      </c>
      <c r="C697" t="s">
        <v>281</v>
      </c>
      <c r="D697">
        <v>0</v>
      </c>
    </row>
    <row r="698" spans="1:4" x14ac:dyDescent="0.2">
      <c r="A698" t="s">
        <v>261</v>
      </c>
      <c r="B698">
        <v>32</v>
      </c>
      <c r="C698" t="s">
        <v>282</v>
      </c>
      <c r="D698">
        <v>0</v>
      </c>
    </row>
    <row r="699" spans="1:4" x14ac:dyDescent="0.2">
      <c r="A699" t="s">
        <v>261</v>
      </c>
      <c r="B699">
        <v>32</v>
      </c>
      <c r="C699" t="s">
        <v>283</v>
      </c>
      <c r="D699">
        <v>32</v>
      </c>
    </row>
    <row r="700" spans="1:4" x14ac:dyDescent="0.2">
      <c r="A700" t="s">
        <v>261</v>
      </c>
      <c r="B700">
        <v>32</v>
      </c>
      <c r="C700" t="s">
        <v>284</v>
      </c>
      <c r="D700">
        <v>0</v>
      </c>
    </row>
    <row r="701" spans="1:4" x14ac:dyDescent="0.2">
      <c r="A701" t="s">
        <v>261</v>
      </c>
      <c r="B701">
        <v>32</v>
      </c>
      <c r="C701" t="s">
        <v>19</v>
      </c>
      <c r="D701">
        <v>32</v>
      </c>
    </row>
    <row r="702" spans="1:4" x14ac:dyDescent="0.2">
      <c r="A702" t="s">
        <v>262</v>
      </c>
      <c r="B702">
        <v>13</v>
      </c>
      <c r="C702" t="s">
        <v>272</v>
      </c>
      <c r="D702">
        <v>0</v>
      </c>
    </row>
    <row r="703" spans="1:4" x14ac:dyDescent="0.2">
      <c r="A703" t="s">
        <v>262</v>
      </c>
      <c r="B703">
        <v>13</v>
      </c>
      <c r="C703" t="s">
        <v>273</v>
      </c>
      <c r="D703">
        <v>13</v>
      </c>
    </row>
    <row r="704" spans="1:4" x14ac:dyDescent="0.2">
      <c r="A704" t="s">
        <v>262</v>
      </c>
      <c r="B704">
        <v>13</v>
      </c>
      <c r="C704" t="s">
        <v>274</v>
      </c>
      <c r="D704">
        <v>0</v>
      </c>
    </row>
    <row r="705" spans="1:4" x14ac:dyDescent="0.2">
      <c r="A705" t="s">
        <v>262</v>
      </c>
      <c r="B705">
        <v>13</v>
      </c>
      <c r="C705" t="s">
        <v>275</v>
      </c>
      <c r="D705">
        <v>13</v>
      </c>
    </row>
    <row r="706" spans="1:4" x14ac:dyDescent="0.2">
      <c r="A706" t="s">
        <v>262</v>
      </c>
      <c r="B706">
        <v>13</v>
      </c>
      <c r="C706" t="s">
        <v>276</v>
      </c>
      <c r="D706">
        <v>0</v>
      </c>
    </row>
    <row r="707" spans="1:4" x14ac:dyDescent="0.2">
      <c r="A707" t="s">
        <v>262</v>
      </c>
      <c r="B707">
        <v>13</v>
      </c>
      <c r="C707" t="s">
        <v>277</v>
      </c>
      <c r="D707">
        <v>13</v>
      </c>
    </row>
    <row r="708" spans="1:4" x14ac:dyDescent="0.2">
      <c r="A708" t="s">
        <v>262</v>
      </c>
      <c r="B708">
        <v>13</v>
      </c>
      <c r="C708" t="s">
        <v>278</v>
      </c>
      <c r="D708">
        <v>13</v>
      </c>
    </row>
    <row r="709" spans="1:4" x14ac:dyDescent="0.2">
      <c r="A709" t="s">
        <v>262</v>
      </c>
      <c r="B709">
        <v>13</v>
      </c>
      <c r="C709" t="s">
        <v>279</v>
      </c>
      <c r="D709">
        <v>0</v>
      </c>
    </row>
    <row r="710" spans="1:4" x14ac:dyDescent="0.2">
      <c r="A710" t="s">
        <v>262</v>
      </c>
      <c r="B710">
        <v>13</v>
      </c>
      <c r="C710" t="s">
        <v>280</v>
      </c>
      <c r="D710">
        <v>13</v>
      </c>
    </row>
    <row r="711" spans="1:4" x14ac:dyDescent="0.2">
      <c r="A711" t="s">
        <v>262</v>
      </c>
      <c r="B711">
        <v>13</v>
      </c>
      <c r="C711" t="s">
        <v>281</v>
      </c>
      <c r="D711">
        <v>0</v>
      </c>
    </row>
    <row r="712" spans="1:4" x14ac:dyDescent="0.2">
      <c r="A712" t="s">
        <v>262</v>
      </c>
      <c r="B712">
        <v>13</v>
      </c>
      <c r="C712" t="s">
        <v>282</v>
      </c>
      <c r="D712">
        <v>0</v>
      </c>
    </row>
    <row r="713" spans="1:4" x14ac:dyDescent="0.2">
      <c r="A713" t="s">
        <v>262</v>
      </c>
      <c r="B713">
        <v>13</v>
      </c>
      <c r="C713" t="s">
        <v>283</v>
      </c>
      <c r="D713">
        <v>13</v>
      </c>
    </row>
    <row r="714" spans="1:4" x14ac:dyDescent="0.2">
      <c r="A714" t="s">
        <v>262</v>
      </c>
      <c r="B714">
        <v>13</v>
      </c>
      <c r="C714" t="s">
        <v>284</v>
      </c>
      <c r="D714">
        <v>0</v>
      </c>
    </row>
    <row r="715" spans="1:4" x14ac:dyDescent="0.2">
      <c r="A715" t="s">
        <v>262</v>
      </c>
      <c r="B715">
        <v>13</v>
      </c>
      <c r="C715" t="s">
        <v>19</v>
      </c>
      <c r="D715">
        <v>13</v>
      </c>
    </row>
    <row r="716" spans="1:4" x14ac:dyDescent="0.2">
      <c r="A716" t="s">
        <v>263</v>
      </c>
      <c r="B716">
        <v>77</v>
      </c>
      <c r="C716" t="s">
        <v>272</v>
      </c>
      <c r="D716">
        <v>0</v>
      </c>
    </row>
    <row r="717" spans="1:4" x14ac:dyDescent="0.2">
      <c r="A717" t="s">
        <v>263</v>
      </c>
      <c r="B717">
        <v>77</v>
      </c>
      <c r="C717" t="s">
        <v>273</v>
      </c>
      <c r="D717">
        <v>77</v>
      </c>
    </row>
    <row r="718" spans="1:4" x14ac:dyDescent="0.2">
      <c r="A718" t="s">
        <v>263</v>
      </c>
      <c r="B718">
        <v>77</v>
      </c>
      <c r="C718" t="s">
        <v>274</v>
      </c>
      <c r="D718">
        <v>0</v>
      </c>
    </row>
    <row r="719" spans="1:4" x14ac:dyDescent="0.2">
      <c r="A719" t="s">
        <v>263</v>
      </c>
      <c r="B719">
        <v>77</v>
      </c>
      <c r="C719" t="s">
        <v>275</v>
      </c>
      <c r="D719">
        <v>77</v>
      </c>
    </row>
    <row r="720" spans="1:4" x14ac:dyDescent="0.2">
      <c r="A720" t="s">
        <v>263</v>
      </c>
      <c r="B720">
        <v>77</v>
      </c>
      <c r="C720" t="s">
        <v>276</v>
      </c>
      <c r="D720">
        <v>0</v>
      </c>
    </row>
    <row r="721" spans="1:4" x14ac:dyDescent="0.2">
      <c r="A721" t="s">
        <v>263</v>
      </c>
      <c r="B721">
        <v>77</v>
      </c>
      <c r="C721" t="s">
        <v>277</v>
      </c>
      <c r="D721">
        <v>77</v>
      </c>
    </row>
    <row r="722" spans="1:4" x14ac:dyDescent="0.2">
      <c r="A722" t="s">
        <v>263</v>
      </c>
      <c r="B722">
        <v>77</v>
      </c>
      <c r="C722" t="s">
        <v>278</v>
      </c>
      <c r="D722">
        <v>77</v>
      </c>
    </row>
    <row r="723" spans="1:4" x14ac:dyDescent="0.2">
      <c r="A723" t="s">
        <v>263</v>
      </c>
      <c r="B723">
        <v>77</v>
      </c>
      <c r="C723" t="s">
        <v>279</v>
      </c>
      <c r="D723">
        <v>0</v>
      </c>
    </row>
    <row r="724" spans="1:4" x14ac:dyDescent="0.2">
      <c r="A724" t="s">
        <v>263</v>
      </c>
      <c r="B724">
        <v>77</v>
      </c>
      <c r="C724" t="s">
        <v>280</v>
      </c>
      <c r="D724">
        <v>77</v>
      </c>
    </row>
    <row r="725" spans="1:4" x14ac:dyDescent="0.2">
      <c r="A725" t="s">
        <v>263</v>
      </c>
      <c r="B725">
        <v>77</v>
      </c>
      <c r="C725" t="s">
        <v>281</v>
      </c>
      <c r="D725">
        <v>0</v>
      </c>
    </row>
    <row r="726" spans="1:4" x14ac:dyDescent="0.2">
      <c r="A726" t="s">
        <v>263</v>
      </c>
      <c r="B726">
        <v>77</v>
      </c>
      <c r="C726" t="s">
        <v>282</v>
      </c>
      <c r="D726">
        <v>0</v>
      </c>
    </row>
    <row r="727" spans="1:4" x14ac:dyDescent="0.2">
      <c r="A727" t="s">
        <v>263</v>
      </c>
      <c r="B727">
        <v>77</v>
      </c>
      <c r="C727" t="s">
        <v>283</v>
      </c>
      <c r="D727">
        <v>77</v>
      </c>
    </row>
    <row r="728" spans="1:4" x14ac:dyDescent="0.2">
      <c r="A728" t="s">
        <v>263</v>
      </c>
      <c r="B728">
        <v>77</v>
      </c>
      <c r="C728" t="s">
        <v>284</v>
      </c>
      <c r="D728">
        <v>0</v>
      </c>
    </row>
    <row r="729" spans="1:4" x14ac:dyDescent="0.2">
      <c r="A729" t="s">
        <v>263</v>
      </c>
      <c r="B729">
        <v>77</v>
      </c>
      <c r="C729" t="s">
        <v>19</v>
      </c>
      <c r="D729">
        <v>77</v>
      </c>
    </row>
    <row r="730" spans="1:4" x14ac:dyDescent="0.2">
      <c r="A730" t="s">
        <v>264</v>
      </c>
      <c r="B730">
        <v>27</v>
      </c>
      <c r="C730" t="s">
        <v>272</v>
      </c>
      <c r="D730">
        <v>0</v>
      </c>
    </row>
    <row r="731" spans="1:4" x14ac:dyDescent="0.2">
      <c r="A731" t="s">
        <v>264</v>
      </c>
      <c r="B731">
        <v>27</v>
      </c>
      <c r="C731" t="s">
        <v>273</v>
      </c>
      <c r="D731">
        <v>27</v>
      </c>
    </row>
    <row r="732" spans="1:4" x14ac:dyDescent="0.2">
      <c r="A732" t="s">
        <v>264</v>
      </c>
      <c r="B732">
        <v>27</v>
      </c>
      <c r="C732" t="s">
        <v>274</v>
      </c>
      <c r="D732">
        <v>0</v>
      </c>
    </row>
    <row r="733" spans="1:4" x14ac:dyDescent="0.2">
      <c r="A733" t="s">
        <v>264</v>
      </c>
      <c r="B733">
        <v>27</v>
      </c>
      <c r="C733" t="s">
        <v>275</v>
      </c>
      <c r="D733">
        <v>27</v>
      </c>
    </row>
    <row r="734" spans="1:4" x14ac:dyDescent="0.2">
      <c r="A734" t="s">
        <v>264</v>
      </c>
      <c r="B734">
        <v>27</v>
      </c>
      <c r="C734" t="s">
        <v>276</v>
      </c>
      <c r="D734">
        <v>0</v>
      </c>
    </row>
    <row r="735" spans="1:4" x14ac:dyDescent="0.2">
      <c r="A735" t="s">
        <v>264</v>
      </c>
      <c r="B735">
        <v>27</v>
      </c>
      <c r="C735" t="s">
        <v>277</v>
      </c>
      <c r="D735">
        <v>27</v>
      </c>
    </row>
    <row r="736" spans="1:4" x14ac:dyDescent="0.2">
      <c r="A736" t="s">
        <v>264</v>
      </c>
      <c r="B736">
        <v>27</v>
      </c>
      <c r="C736" t="s">
        <v>278</v>
      </c>
      <c r="D736">
        <v>27</v>
      </c>
    </row>
    <row r="737" spans="1:4" x14ac:dyDescent="0.2">
      <c r="A737" t="s">
        <v>264</v>
      </c>
      <c r="B737">
        <v>27</v>
      </c>
      <c r="C737" t="s">
        <v>279</v>
      </c>
      <c r="D737">
        <v>0</v>
      </c>
    </row>
    <row r="738" spans="1:4" x14ac:dyDescent="0.2">
      <c r="A738" t="s">
        <v>264</v>
      </c>
      <c r="B738">
        <v>27</v>
      </c>
      <c r="C738" t="s">
        <v>280</v>
      </c>
      <c r="D738">
        <v>27</v>
      </c>
    </row>
    <row r="739" spans="1:4" x14ac:dyDescent="0.2">
      <c r="A739" t="s">
        <v>264</v>
      </c>
      <c r="B739">
        <v>27</v>
      </c>
      <c r="C739" t="s">
        <v>281</v>
      </c>
      <c r="D739">
        <v>0</v>
      </c>
    </row>
    <row r="740" spans="1:4" x14ac:dyDescent="0.2">
      <c r="A740" t="s">
        <v>264</v>
      </c>
      <c r="B740">
        <v>27</v>
      </c>
      <c r="C740" t="s">
        <v>282</v>
      </c>
      <c r="D740">
        <v>0</v>
      </c>
    </row>
    <row r="741" spans="1:4" x14ac:dyDescent="0.2">
      <c r="A741" t="s">
        <v>264</v>
      </c>
      <c r="B741">
        <v>27</v>
      </c>
      <c r="C741" t="s">
        <v>283</v>
      </c>
      <c r="D741">
        <v>27</v>
      </c>
    </row>
    <row r="742" spans="1:4" x14ac:dyDescent="0.2">
      <c r="A742" t="s">
        <v>264</v>
      </c>
      <c r="B742">
        <v>27</v>
      </c>
      <c r="C742" t="s">
        <v>284</v>
      </c>
      <c r="D742">
        <v>0</v>
      </c>
    </row>
    <row r="743" spans="1:4" x14ac:dyDescent="0.2">
      <c r="A743" t="s">
        <v>264</v>
      </c>
      <c r="B743">
        <v>27</v>
      </c>
      <c r="C743" t="s">
        <v>19</v>
      </c>
      <c r="D743">
        <v>27</v>
      </c>
    </row>
    <row r="744" spans="1:4" x14ac:dyDescent="0.2">
      <c r="A744" t="s">
        <v>265</v>
      </c>
      <c r="B744">
        <v>29</v>
      </c>
      <c r="C744" t="s">
        <v>272</v>
      </c>
      <c r="D744">
        <v>0</v>
      </c>
    </row>
    <row r="745" spans="1:4" x14ac:dyDescent="0.2">
      <c r="A745" t="s">
        <v>265</v>
      </c>
      <c r="B745">
        <v>29</v>
      </c>
      <c r="C745" t="s">
        <v>273</v>
      </c>
      <c r="D745">
        <v>29</v>
      </c>
    </row>
    <row r="746" spans="1:4" x14ac:dyDescent="0.2">
      <c r="A746" t="s">
        <v>265</v>
      </c>
      <c r="B746">
        <v>29</v>
      </c>
      <c r="C746" t="s">
        <v>274</v>
      </c>
      <c r="D746">
        <v>0</v>
      </c>
    </row>
    <row r="747" spans="1:4" x14ac:dyDescent="0.2">
      <c r="A747" t="s">
        <v>265</v>
      </c>
      <c r="B747">
        <v>29</v>
      </c>
      <c r="C747" t="s">
        <v>275</v>
      </c>
      <c r="D747">
        <v>29</v>
      </c>
    </row>
    <row r="748" spans="1:4" x14ac:dyDescent="0.2">
      <c r="A748" t="s">
        <v>265</v>
      </c>
      <c r="B748">
        <v>29</v>
      </c>
      <c r="C748" t="s">
        <v>276</v>
      </c>
      <c r="D748">
        <v>0</v>
      </c>
    </row>
    <row r="749" spans="1:4" x14ac:dyDescent="0.2">
      <c r="A749" t="s">
        <v>265</v>
      </c>
      <c r="B749">
        <v>29</v>
      </c>
      <c r="C749" t="s">
        <v>277</v>
      </c>
      <c r="D749">
        <v>29</v>
      </c>
    </row>
    <row r="750" spans="1:4" x14ac:dyDescent="0.2">
      <c r="A750" t="s">
        <v>265</v>
      </c>
      <c r="B750">
        <v>29</v>
      </c>
      <c r="C750" t="s">
        <v>278</v>
      </c>
      <c r="D750">
        <v>29</v>
      </c>
    </row>
    <row r="751" spans="1:4" x14ac:dyDescent="0.2">
      <c r="A751" t="s">
        <v>265</v>
      </c>
      <c r="B751">
        <v>29</v>
      </c>
      <c r="C751" t="s">
        <v>279</v>
      </c>
      <c r="D751">
        <v>0</v>
      </c>
    </row>
    <row r="752" spans="1:4" x14ac:dyDescent="0.2">
      <c r="A752" t="s">
        <v>265</v>
      </c>
      <c r="B752">
        <v>29</v>
      </c>
      <c r="C752" t="s">
        <v>280</v>
      </c>
      <c r="D752">
        <v>29</v>
      </c>
    </row>
    <row r="753" spans="1:4" x14ac:dyDescent="0.2">
      <c r="A753" t="s">
        <v>265</v>
      </c>
      <c r="B753">
        <v>29</v>
      </c>
      <c r="C753" t="s">
        <v>281</v>
      </c>
      <c r="D753">
        <v>0</v>
      </c>
    </row>
    <row r="754" spans="1:4" x14ac:dyDescent="0.2">
      <c r="A754" t="s">
        <v>265</v>
      </c>
      <c r="B754">
        <v>29</v>
      </c>
      <c r="C754" t="s">
        <v>282</v>
      </c>
      <c r="D754">
        <v>0</v>
      </c>
    </row>
    <row r="755" spans="1:4" x14ac:dyDescent="0.2">
      <c r="A755" t="s">
        <v>265</v>
      </c>
      <c r="B755">
        <v>29</v>
      </c>
      <c r="C755" t="s">
        <v>283</v>
      </c>
      <c r="D755">
        <v>29</v>
      </c>
    </row>
    <row r="756" spans="1:4" x14ac:dyDescent="0.2">
      <c r="A756" t="s">
        <v>265</v>
      </c>
      <c r="B756">
        <v>29</v>
      </c>
      <c r="C756" t="s">
        <v>284</v>
      </c>
      <c r="D756">
        <v>0</v>
      </c>
    </row>
    <row r="757" spans="1:4" x14ac:dyDescent="0.2">
      <c r="A757" t="s">
        <v>265</v>
      </c>
      <c r="B757">
        <v>29</v>
      </c>
      <c r="C757" t="s">
        <v>19</v>
      </c>
      <c r="D757">
        <v>29</v>
      </c>
    </row>
    <row r="758" spans="1:4" x14ac:dyDescent="0.2">
      <c r="A758" t="s">
        <v>266</v>
      </c>
      <c r="B758">
        <v>18</v>
      </c>
      <c r="C758" t="s">
        <v>272</v>
      </c>
      <c r="D758">
        <v>0</v>
      </c>
    </row>
    <row r="759" spans="1:4" x14ac:dyDescent="0.2">
      <c r="A759" t="s">
        <v>266</v>
      </c>
      <c r="B759">
        <v>18</v>
      </c>
      <c r="C759" t="s">
        <v>273</v>
      </c>
      <c r="D759">
        <v>18</v>
      </c>
    </row>
    <row r="760" spans="1:4" x14ac:dyDescent="0.2">
      <c r="A760" t="s">
        <v>266</v>
      </c>
      <c r="B760">
        <v>18</v>
      </c>
      <c r="C760" t="s">
        <v>274</v>
      </c>
      <c r="D760">
        <v>0</v>
      </c>
    </row>
    <row r="761" spans="1:4" x14ac:dyDescent="0.2">
      <c r="A761" t="s">
        <v>266</v>
      </c>
      <c r="B761">
        <v>18</v>
      </c>
      <c r="C761" t="s">
        <v>275</v>
      </c>
      <c r="D761">
        <v>18</v>
      </c>
    </row>
    <row r="762" spans="1:4" x14ac:dyDescent="0.2">
      <c r="A762" t="s">
        <v>266</v>
      </c>
      <c r="B762">
        <v>18</v>
      </c>
      <c r="C762" t="s">
        <v>276</v>
      </c>
      <c r="D762">
        <v>0</v>
      </c>
    </row>
    <row r="763" spans="1:4" x14ac:dyDescent="0.2">
      <c r="A763" t="s">
        <v>266</v>
      </c>
      <c r="B763">
        <v>18</v>
      </c>
      <c r="C763" t="s">
        <v>277</v>
      </c>
      <c r="D763">
        <v>18</v>
      </c>
    </row>
    <row r="764" spans="1:4" x14ac:dyDescent="0.2">
      <c r="A764" t="s">
        <v>266</v>
      </c>
      <c r="B764">
        <v>18</v>
      </c>
      <c r="C764" t="s">
        <v>278</v>
      </c>
      <c r="D764">
        <v>18</v>
      </c>
    </row>
    <row r="765" spans="1:4" x14ac:dyDescent="0.2">
      <c r="A765" t="s">
        <v>266</v>
      </c>
      <c r="B765">
        <v>18</v>
      </c>
      <c r="C765" t="s">
        <v>279</v>
      </c>
      <c r="D765">
        <v>0</v>
      </c>
    </row>
    <row r="766" spans="1:4" x14ac:dyDescent="0.2">
      <c r="A766" t="s">
        <v>266</v>
      </c>
      <c r="B766">
        <v>18</v>
      </c>
      <c r="C766" t="s">
        <v>280</v>
      </c>
      <c r="D766">
        <v>18</v>
      </c>
    </row>
    <row r="767" spans="1:4" x14ac:dyDescent="0.2">
      <c r="A767" t="s">
        <v>266</v>
      </c>
      <c r="B767">
        <v>18</v>
      </c>
      <c r="C767" t="s">
        <v>281</v>
      </c>
      <c r="D767">
        <v>0</v>
      </c>
    </row>
    <row r="768" spans="1:4" x14ac:dyDescent="0.2">
      <c r="A768" t="s">
        <v>266</v>
      </c>
      <c r="B768">
        <v>18</v>
      </c>
      <c r="C768" t="s">
        <v>282</v>
      </c>
      <c r="D768">
        <v>0</v>
      </c>
    </row>
    <row r="769" spans="1:4" x14ac:dyDescent="0.2">
      <c r="A769" t="s">
        <v>266</v>
      </c>
      <c r="B769">
        <v>18</v>
      </c>
      <c r="C769" t="s">
        <v>283</v>
      </c>
      <c r="D769">
        <v>18</v>
      </c>
    </row>
    <row r="770" spans="1:4" x14ac:dyDescent="0.2">
      <c r="A770" t="s">
        <v>266</v>
      </c>
      <c r="B770">
        <v>18</v>
      </c>
      <c r="C770" t="s">
        <v>284</v>
      </c>
      <c r="D770">
        <v>0</v>
      </c>
    </row>
    <row r="771" spans="1:4" x14ac:dyDescent="0.2">
      <c r="A771" t="s">
        <v>266</v>
      </c>
      <c r="B771">
        <v>18</v>
      </c>
      <c r="C771" t="s">
        <v>19</v>
      </c>
      <c r="D771">
        <v>18</v>
      </c>
    </row>
    <row r="772" spans="1:4" x14ac:dyDescent="0.2">
      <c r="A772" t="s">
        <v>267</v>
      </c>
      <c r="B772">
        <v>26</v>
      </c>
      <c r="C772" t="s">
        <v>272</v>
      </c>
      <c r="D772">
        <v>0</v>
      </c>
    </row>
    <row r="773" spans="1:4" x14ac:dyDescent="0.2">
      <c r="A773" t="s">
        <v>267</v>
      </c>
      <c r="B773">
        <v>26</v>
      </c>
      <c r="C773" t="s">
        <v>273</v>
      </c>
      <c r="D773">
        <v>26</v>
      </c>
    </row>
    <row r="774" spans="1:4" x14ac:dyDescent="0.2">
      <c r="A774" t="s">
        <v>267</v>
      </c>
      <c r="B774">
        <v>26</v>
      </c>
      <c r="C774" t="s">
        <v>274</v>
      </c>
      <c r="D774">
        <v>0</v>
      </c>
    </row>
    <row r="775" spans="1:4" x14ac:dyDescent="0.2">
      <c r="A775" t="s">
        <v>267</v>
      </c>
      <c r="B775">
        <v>26</v>
      </c>
      <c r="C775" t="s">
        <v>275</v>
      </c>
      <c r="D775">
        <v>26</v>
      </c>
    </row>
    <row r="776" spans="1:4" x14ac:dyDescent="0.2">
      <c r="A776" t="s">
        <v>267</v>
      </c>
      <c r="B776">
        <v>26</v>
      </c>
      <c r="C776" t="s">
        <v>276</v>
      </c>
      <c r="D776">
        <v>0</v>
      </c>
    </row>
    <row r="777" spans="1:4" x14ac:dyDescent="0.2">
      <c r="A777" t="s">
        <v>267</v>
      </c>
      <c r="B777">
        <v>26</v>
      </c>
      <c r="C777" t="s">
        <v>277</v>
      </c>
      <c r="D777">
        <v>26</v>
      </c>
    </row>
    <row r="778" spans="1:4" x14ac:dyDescent="0.2">
      <c r="A778" t="s">
        <v>267</v>
      </c>
      <c r="B778">
        <v>26</v>
      </c>
      <c r="C778" t="s">
        <v>278</v>
      </c>
      <c r="D778">
        <v>26</v>
      </c>
    </row>
    <row r="779" spans="1:4" x14ac:dyDescent="0.2">
      <c r="A779" t="s">
        <v>267</v>
      </c>
      <c r="B779">
        <v>26</v>
      </c>
      <c r="C779" t="s">
        <v>279</v>
      </c>
      <c r="D779">
        <v>0</v>
      </c>
    </row>
    <row r="780" spans="1:4" x14ac:dyDescent="0.2">
      <c r="A780" t="s">
        <v>267</v>
      </c>
      <c r="B780">
        <v>26</v>
      </c>
      <c r="C780" t="s">
        <v>280</v>
      </c>
      <c r="D780">
        <v>26</v>
      </c>
    </row>
    <row r="781" spans="1:4" x14ac:dyDescent="0.2">
      <c r="A781" t="s">
        <v>267</v>
      </c>
      <c r="B781">
        <v>26</v>
      </c>
      <c r="C781" t="s">
        <v>281</v>
      </c>
      <c r="D781">
        <v>0</v>
      </c>
    </row>
    <row r="782" spans="1:4" x14ac:dyDescent="0.2">
      <c r="A782" t="s">
        <v>267</v>
      </c>
      <c r="B782">
        <v>26</v>
      </c>
      <c r="C782" t="s">
        <v>282</v>
      </c>
      <c r="D782">
        <v>0</v>
      </c>
    </row>
    <row r="783" spans="1:4" x14ac:dyDescent="0.2">
      <c r="A783" t="s">
        <v>267</v>
      </c>
      <c r="B783">
        <v>26</v>
      </c>
      <c r="C783" t="s">
        <v>283</v>
      </c>
      <c r="D783">
        <v>26</v>
      </c>
    </row>
    <row r="784" spans="1:4" x14ac:dyDescent="0.2">
      <c r="A784" t="s">
        <v>267</v>
      </c>
      <c r="B784">
        <v>26</v>
      </c>
      <c r="C784" t="s">
        <v>284</v>
      </c>
      <c r="D784">
        <v>0</v>
      </c>
    </row>
    <row r="785" spans="1:4" x14ac:dyDescent="0.2">
      <c r="A785" t="s">
        <v>267</v>
      </c>
      <c r="B785">
        <v>26</v>
      </c>
      <c r="C785" t="s">
        <v>19</v>
      </c>
      <c r="D785">
        <v>26</v>
      </c>
    </row>
    <row r="786" spans="1:4" x14ac:dyDescent="0.2">
      <c r="A786" t="s">
        <v>268</v>
      </c>
      <c r="B786">
        <v>28</v>
      </c>
      <c r="C786" t="s">
        <v>272</v>
      </c>
      <c r="D786">
        <v>0</v>
      </c>
    </row>
    <row r="787" spans="1:4" x14ac:dyDescent="0.2">
      <c r="A787" t="s">
        <v>268</v>
      </c>
      <c r="B787">
        <v>28</v>
      </c>
      <c r="C787" t="s">
        <v>273</v>
      </c>
      <c r="D787">
        <v>28</v>
      </c>
    </row>
    <row r="788" spans="1:4" x14ac:dyDescent="0.2">
      <c r="A788" t="s">
        <v>268</v>
      </c>
      <c r="B788">
        <v>28</v>
      </c>
      <c r="C788" t="s">
        <v>274</v>
      </c>
      <c r="D788">
        <v>0</v>
      </c>
    </row>
    <row r="789" spans="1:4" x14ac:dyDescent="0.2">
      <c r="A789" t="s">
        <v>268</v>
      </c>
      <c r="B789">
        <v>28</v>
      </c>
      <c r="C789" t="s">
        <v>275</v>
      </c>
      <c r="D789">
        <v>28</v>
      </c>
    </row>
    <row r="790" spans="1:4" x14ac:dyDescent="0.2">
      <c r="A790" t="s">
        <v>268</v>
      </c>
      <c r="B790">
        <v>28</v>
      </c>
      <c r="C790" t="s">
        <v>276</v>
      </c>
      <c r="D790">
        <v>0</v>
      </c>
    </row>
    <row r="791" spans="1:4" x14ac:dyDescent="0.2">
      <c r="A791" t="s">
        <v>268</v>
      </c>
      <c r="B791">
        <v>28</v>
      </c>
      <c r="C791" t="s">
        <v>277</v>
      </c>
      <c r="D791">
        <v>28</v>
      </c>
    </row>
    <row r="792" spans="1:4" x14ac:dyDescent="0.2">
      <c r="A792" t="s">
        <v>268</v>
      </c>
      <c r="B792">
        <v>28</v>
      </c>
      <c r="C792" t="s">
        <v>278</v>
      </c>
      <c r="D792">
        <v>28</v>
      </c>
    </row>
    <row r="793" spans="1:4" x14ac:dyDescent="0.2">
      <c r="A793" t="s">
        <v>268</v>
      </c>
      <c r="B793">
        <v>28</v>
      </c>
      <c r="C793" t="s">
        <v>279</v>
      </c>
      <c r="D793">
        <v>0</v>
      </c>
    </row>
    <row r="794" spans="1:4" x14ac:dyDescent="0.2">
      <c r="A794" t="s">
        <v>268</v>
      </c>
      <c r="B794">
        <v>28</v>
      </c>
      <c r="C794" t="s">
        <v>280</v>
      </c>
      <c r="D794">
        <v>28</v>
      </c>
    </row>
    <row r="795" spans="1:4" x14ac:dyDescent="0.2">
      <c r="A795" t="s">
        <v>268</v>
      </c>
      <c r="B795">
        <v>28</v>
      </c>
      <c r="C795" t="s">
        <v>281</v>
      </c>
      <c r="D795">
        <v>0</v>
      </c>
    </row>
    <row r="796" spans="1:4" x14ac:dyDescent="0.2">
      <c r="A796" t="s">
        <v>268</v>
      </c>
      <c r="B796">
        <v>28</v>
      </c>
      <c r="C796" t="s">
        <v>282</v>
      </c>
      <c r="D796">
        <v>0</v>
      </c>
    </row>
    <row r="797" spans="1:4" x14ac:dyDescent="0.2">
      <c r="A797" t="s">
        <v>268</v>
      </c>
      <c r="B797">
        <v>28</v>
      </c>
      <c r="C797" t="s">
        <v>283</v>
      </c>
      <c r="D797">
        <v>28</v>
      </c>
    </row>
    <row r="798" spans="1:4" x14ac:dyDescent="0.2">
      <c r="A798" t="s">
        <v>268</v>
      </c>
      <c r="B798">
        <v>28</v>
      </c>
      <c r="C798" t="s">
        <v>284</v>
      </c>
      <c r="D798">
        <v>0</v>
      </c>
    </row>
    <row r="799" spans="1:4" x14ac:dyDescent="0.2">
      <c r="A799" t="s">
        <v>268</v>
      </c>
      <c r="B799">
        <v>28</v>
      </c>
      <c r="C799" t="s">
        <v>19</v>
      </c>
      <c r="D799">
        <v>28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9FC95-83CC-FE4E-947F-ABC39DDC41B6}">
  <dimension ref="B1:AG60"/>
  <sheetViews>
    <sheetView tabSelected="1" topLeftCell="T1" zoomScale="135" workbookViewId="0">
      <selection activeCell="B3" sqref="B3"/>
    </sheetView>
  </sheetViews>
  <sheetFormatPr baseColWidth="10" defaultRowHeight="16" x14ac:dyDescent="0.2"/>
  <cols>
    <col min="2" max="2" width="22.1640625" customWidth="1"/>
  </cols>
  <sheetData>
    <row r="1" spans="2:33" ht="18" thickTop="1" thickBot="1" x14ac:dyDescent="0.25">
      <c r="B1" s="52" t="s">
        <v>173</v>
      </c>
      <c r="C1" s="54" t="s">
        <v>270</v>
      </c>
      <c r="D1" s="56" t="s">
        <v>269</v>
      </c>
      <c r="E1" s="49" t="s">
        <v>174</v>
      </c>
      <c r="F1" s="50"/>
      <c r="G1" s="49" t="s">
        <v>175</v>
      </c>
      <c r="H1" s="50"/>
      <c r="I1" s="49" t="s">
        <v>176</v>
      </c>
      <c r="J1" s="50"/>
      <c r="K1" s="49" t="s">
        <v>177</v>
      </c>
      <c r="L1" s="50"/>
      <c r="M1" s="49" t="s">
        <v>178</v>
      </c>
      <c r="N1" s="50"/>
      <c r="O1" s="49" t="s">
        <v>179</v>
      </c>
      <c r="P1" s="51"/>
      <c r="Q1" s="50"/>
      <c r="S1" s="16" t="s">
        <v>269</v>
      </c>
      <c r="T1" s="49" t="s">
        <v>174</v>
      </c>
      <c r="U1" s="50"/>
      <c r="V1" s="49" t="s">
        <v>175</v>
      </c>
      <c r="W1" s="50"/>
      <c r="X1" s="49" t="s">
        <v>176</v>
      </c>
      <c r="Y1" s="50"/>
      <c r="Z1" s="49" t="s">
        <v>177</v>
      </c>
      <c r="AA1" s="50"/>
      <c r="AB1" s="49" t="s">
        <v>178</v>
      </c>
      <c r="AC1" s="50"/>
      <c r="AD1" s="49" t="s">
        <v>179</v>
      </c>
      <c r="AE1" s="51"/>
      <c r="AF1" s="50"/>
    </row>
    <row r="2" spans="2:33" ht="18" thickTop="1" thickBot="1" x14ac:dyDescent="0.25">
      <c r="B2" s="53"/>
      <c r="C2" s="55"/>
      <c r="D2" s="57"/>
      <c r="E2" s="2" t="s">
        <v>180</v>
      </c>
      <c r="F2" s="3" t="s">
        <v>181</v>
      </c>
      <c r="G2" s="2" t="s">
        <v>182</v>
      </c>
      <c r="H2" s="3" t="s">
        <v>183</v>
      </c>
      <c r="I2" s="2" t="s">
        <v>180</v>
      </c>
      <c r="J2" s="3" t="s">
        <v>181</v>
      </c>
      <c r="K2" s="2" t="s">
        <v>184</v>
      </c>
      <c r="L2" s="3" t="s">
        <v>185</v>
      </c>
      <c r="M2" s="2" t="s">
        <v>183</v>
      </c>
      <c r="N2" s="3" t="s">
        <v>186</v>
      </c>
      <c r="O2" s="2" t="s">
        <v>184</v>
      </c>
      <c r="P2" s="2" t="s">
        <v>181</v>
      </c>
      <c r="Q2" s="37" t="s">
        <v>185</v>
      </c>
      <c r="R2" s="45" t="s">
        <v>173</v>
      </c>
      <c r="S2" s="16" t="s">
        <v>269</v>
      </c>
      <c r="T2" s="2" t="s">
        <v>272</v>
      </c>
      <c r="U2" s="3" t="s">
        <v>273</v>
      </c>
      <c r="V2" s="2" t="s">
        <v>274</v>
      </c>
      <c r="W2" s="3" t="s">
        <v>275</v>
      </c>
      <c r="X2" s="2" t="s">
        <v>276</v>
      </c>
      <c r="Y2" s="3" t="s">
        <v>277</v>
      </c>
      <c r="Z2" s="2" t="s">
        <v>278</v>
      </c>
      <c r="AA2" s="3" t="s">
        <v>279</v>
      </c>
      <c r="AB2" s="2" t="s">
        <v>280</v>
      </c>
      <c r="AC2" s="3" t="s">
        <v>281</v>
      </c>
      <c r="AD2" s="2" t="s">
        <v>282</v>
      </c>
      <c r="AE2" s="2" t="s">
        <v>283</v>
      </c>
      <c r="AF2" s="3" t="s">
        <v>284</v>
      </c>
      <c r="AG2" s="38" t="s">
        <v>19</v>
      </c>
    </row>
    <row r="3" spans="2:33" ht="28" thickTop="1" thickBot="1" x14ac:dyDescent="0.25">
      <c r="B3" s="30" t="s">
        <v>187</v>
      </c>
      <c r="C3" s="31">
        <v>1</v>
      </c>
      <c r="D3" s="32">
        <v>27</v>
      </c>
      <c r="E3" s="33">
        <v>0</v>
      </c>
      <c r="F3" s="34">
        <v>1</v>
      </c>
      <c r="G3" s="8">
        <v>3.3629999999999997E-8</v>
      </c>
      <c r="H3" s="35" t="s">
        <v>188</v>
      </c>
      <c r="I3" s="8">
        <v>4.266E-8</v>
      </c>
      <c r="J3" s="32" t="s">
        <v>188</v>
      </c>
      <c r="K3" s="33">
        <v>1</v>
      </c>
      <c r="L3" s="34">
        <v>0</v>
      </c>
      <c r="M3" s="33">
        <v>1</v>
      </c>
      <c r="N3" s="34">
        <v>0</v>
      </c>
      <c r="O3" s="33" t="s">
        <v>189</v>
      </c>
      <c r="P3" s="4">
        <v>0.93400000000000005</v>
      </c>
      <c r="Q3" s="40">
        <v>0</v>
      </c>
      <c r="R3" s="30" t="s">
        <v>187</v>
      </c>
      <c r="S3" s="32">
        <v>27</v>
      </c>
      <c r="T3">
        <f>ROUND(_xlfn.TEXTBEFORE(E3, "(", ,,, E3) * D3, 0)</f>
        <v>0</v>
      </c>
      <c r="U3">
        <f>ROUND(_xlfn.TEXTBEFORE(F3, "(", ,,, F3) * D3, 0)</f>
        <v>27</v>
      </c>
      <c r="V3">
        <f>ROUND(_xlfn.TEXTBEFORE(G3, "(", ,,, G3) * D3, 0)</f>
        <v>0</v>
      </c>
      <c r="W3">
        <f>ROUND(_xlfn.TEXTBEFORE(H3, "(", ,,, H3) * D3, 0)</f>
        <v>27</v>
      </c>
      <c r="X3">
        <f>ROUND(_xlfn.TEXTBEFORE(I3, "(", ,,, I3) * D3, 0)</f>
        <v>0</v>
      </c>
      <c r="Y3">
        <f>ROUND(_xlfn.TEXTBEFORE(J3, "(", ,,, J3) * D3, 0)</f>
        <v>27</v>
      </c>
      <c r="Z3">
        <f>ROUND(_xlfn.TEXTBEFORE(K3, "(", ,,, K3) * D3, 0)</f>
        <v>27</v>
      </c>
      <c r="AA3">
        <f>ROUND(_xlfn.TEXTBEFORE(L3, "(", ,,, L3) * D3, 0)</f>
        <v>0</v>
      </c>
      <c r="AB3">
        <f>ROUND(_xlfn.TEXTBEFORE(M3, "(", ,,, M3) * D3, 0)</f>
        <v>27</v>
      </c>
      <c r="AC3">
        <f>ROUND(_xlfn.TEXTBEFORE(N3, "(", ,,, N3) * D3, 0)</f>
        <v>0</v>
      </c>
      <c r="AD3">
        <f>ROUND(_xlfn.TEXTBEFORE(O3, "(", ,,, O3) * D3, 0)</f>
        <v>2</v>
      </c>
      <c r="AE3">
        <f>ROUND(_xlfn.TEXTBEFORE(P3, "(", ,,, P3) * D3, 0)</f>
        <v>25</v>
      </c>
      <c r="AF3">
        <f>ROUND(_xlfn.TEXTBEFORE(Q3, "(", ,,, Q3) * D3, 0)</f>
        <v>0</v>
      </c>
      <c r="AG3">
        <f>S3 - T3 - V3 - X3 - AA3 - AC3 - AD3 - AF3</f>
        <v>25</v>
      </c>
    </row>
    <row r="4" spans="2:33" ht="27" thickBot="1" x14ac:dyDescent="0.25">
      <c r="B4" s="27" t="s">
        <v>190</v>
      </c>
      <c r="C4" s="27">
        <v>1</v>
      </c>
      <c r="D4" s="26">
        <v>29</v>
      </c>
      <c r="E4" s="24" t="s">
        <v>191</v>
      </c>
      <c r="F4" s="7">
        <v>0.83199999999999996</v>
      </c>
      <c r="G4" s="24">
        <v>0</v>
      </c>
      <c r="H4" s="22">
        <v>1</v>
      </c>
      <c r="I4" s="4">
        <v>1.2E-2</v>
      </c>
      <c r="J4" s="7">
        <v>0.98799999999999999</v>
      </c>
      <c r="K4" s="24">
        <v>1</v>
      </c>
      <c r="L4" s="22">
        <v>0</v>
      </c>
      <c r="M4" s="36" t="s">
        <v>188</v>
      </c>
      <c r="N4" s="15">
        <v>3.437E-9</v>
      </c>
      <c r="O4" s="24" t="s">
        <v>192</v>
      </c>
      <c r="P4" s="4">
        <v>0.92200000000000004</v>
      </c>
      <c r="Q4" s="41">
        <v>0</v>
      </c>
      <c r="R4" s="27" t="s">
        <v>190</v>
      </c>
      <c r="S4" s="26">
        <v>29</v>
      </c>
      <c r="T4">
        <f t="shared" ref="T4:T32" si="0">ROUND(_xlfn.TEXTBEFORE(E4, "(", ,,, E4) * D4, 0)</f>
        <v>5</v>
      </c>
      <c r="U4">
        <f t="shared" ref="U4:U32" si="1">ROUND(_xlfn.TEXTBEFORE(F4, "(", ,,, F4) * D4, 0)</f>
        <v>24</v>
      </c>
      <c r="V4">
        <f t="shared" ref="V4:V32" si="2">ROUND(_xlfn.TEXTBEFORE(G4, "(", ,,, G4) * D4, 0)</f>
        <v>0</v>
      </c>
      <c r="W4">
        <f t="shared" ref="W4:W32" si="3">ROUND(_xlfn.TEXTBEFORE(H4, "(", ,,, H4) * D4, 0)</f>
        <v>29</v>
      </c>
      <c r="X4">
        <f t="shared" ref="X4:X32" si="4">ROUND(_xlfn.TEXTBEFORE(I4, "(", ,,, I4) * D4, 0)</f>
        <v>0</v>
      </c>
      <c r="Y4">
        <f t="shared" ref="Y4:Y32" si="5">ROUND(_xlfn.TEXTBEFORE(J4, "(", ,,, J4) * D4, 0)</f>
        <v>29</v>
      </c>
      <c r="Z4">
        <f t="shared" ref="Z4:Z32" si="6">ROUND(_xlfn.TEXTBEFORE(K4, "(", ,,, K4) * D4, 0)</f>
        <v>29</v>
      </c>
      <c r="AA4">
        <f t="shared" ref="AA4:AA32" si="7">ROUND(_xlfn.TEXTBEFORE(L4, "(", ,,, L4) * D4, 0)</f>
        <v>0</v>
      </c>
      <c r="AB4">
        <f t="shared" ref="AB4:AB32" si="8">ROUND(_xlfn.TEXTBEFORE(M4, "(", ,,, M4) * D4, 0)</f>
        <v>29</v>
      </c>
      <c r="AC4">
        <f t="shared" ref="AC4:AC32" si="9">ROUND(_xlfn.TEXTBEFORE(N4, "(", ,,, N4) * D4, 0)</f>
        <v>0</v>
      </c>
      <c r="AD4">
        <f t="shared" ref="AD4:AD32" si="10">ROUND(_xlfn.TEXTBEFORE(O4, "(", ,,, O4) * D4, 0)</f>
        <v>2</v>
      </c>
      <c r="AE4">
        <f t="shared" ref="AE4:AE32" si="11">ROUND(_xlfn.TEXTBEFORE(P4, "(", ,,, P4) * D4, 0)</f>
        <v>27</v>
      </c>
      <c r="AF4">
        <f t="shared" ref="AF4:AF32" si="12">ROUND(_xlfn.TEXTBEFORE(Q4, "(", ,,, Q4) * D4, 0)</f>
        <v>0</v>
      </c>
      <c r="AG4">
        <f t="shared" ref="AG4:AG59" si="13">S4 - T4 - V4 - X4 - AA4 - AC4 - AD4 - AF4</f>
        <v>22</v>
      </c>
    </row>
    <row r="5" spans="2:33" ht="27" thickBot="1" x14ac:dyDescent="0.25">
      <c r="B5" s="23" t="s">
        <v>193</v>
      </c>
      <c r="C5" s="27">
        <v>1</v>
      </c>
      <c r="D5" s="26">
        <v>87</v>
      </c>
      <c r="E5" s="24" t="s">
        <v>194</v>
      </c>
      <c r="F5" s="7">
        <v>0.96499999999999997</v>
      </c>
      <c r="G5" s="24">
        <v>0</v>
      </c>
      <c r="H5" s="22">
        <v>1</v>
      </c>
      <c r="I5" s="24" t="s">
        <v>195</v>
      </c>
      <c r="J5" s="7">
        <v>0.98899999999999999</v>
      </c>
      <c r="K5" s="24">
        <v>1</v>
      </c>
      <c r="L5" s="22">
        <v>0</v>
      </c>
      <c r="M5" s="4">
        <v>0.99399999999999999</v>
      </c>
      <c r="N5" s="7" t="s">
        <v>196</v>
      </c>
      <c r="O5" s="24">
        <v>0</v>
      </c>
      <c r="P5" s="23">
        <v>1</v>
      </c>
      <c r="Q5" s="41">
        <v>0</v>
      </c>
      <c r="R5" s="23" t="s">
        <v>193</v>
      </c>
      <c r="S5" s="26">
        <v>87</v>
      </c>
      <c r="T5">
        <f t="shared" si="0"/>
        <v>3</v>
      </c>
      <c r="U5">
        <f t="shared" si="1"/>
        <v>84</v>
      </c>
      <c r="V5">
        <f t="shared" si="2"/>
        <v>0</v>
      </c>
      <c r="W5">
        <f t="shared" si="3"/>
        <v>87</v>
      </c>
      <c r="X5">
        <f t="shared" si="4"/>
        <v>1</v>
      </c>
      <c r="Y5">
        <f t="shared" si="5"/>
        <v>86</v>
      </c>
      <c r="Z5">
        <f t="shared" si="6"/>
        <v>87</v>
      </c>
      <c r="AA5">
        <f t="shared" si="7"/>
        <v>0</v>
      </c>
      <c r="AB5">
        <f t="shared" si="8"/>
        <v>86</v>
      </c>
      <c r="AC5">
        <f t="shared" si="9"/>
        <v>1</v>
      </c>
      <c r="AD5">
        <f t="shared" si="10"/>
        <v>0</v>
      </c>
      <c r="AE5">
        <f t="shared" si="11"/>
        <v>87</v>
      </c>
      <c r="AF5">
        <f t="shared" si="12"/>
        <v>0</v>
      </c>
      <c r="AG5">
        <f t="shared" si="13"/>
        <v>82</v>
      </c>
    </row>
    <row r="6" spans="2:33" ht="27" thickBot="1" x14ac:dyDescent="0.25">
      <c r="B6" s="23" t="s">
        <v>197</v>
      </c>
      <c r="C6" s="27">
        <v>1</v>
      </c>
      <c r="D6" s="26">
        <v>61</v>
      </c>
      <c r="E6" s="8">
        <v>4.9859999999999998E-8</v>
      </c>
      <c r="F6" s="26" t="s">
        <v>188</v>
      </c>
      <c r="G6" s="8">
        <v>2.0599999999999999E-9</v>
      </c>
      <c r="H6" s="29" t="s">
        <v>188</v>
      </c>
      <c r="I6" s="24">
        <v>0</v>
      </c>
      <c r="J6" s="22">
        <v>1</v>
      </c>
      <c r="K6" s="24">
        <v>1</v>
      </c>
      <c r="L6" s="22">
        <v>0</v>
      </c>
      <c r="M6" s="4">
        <v>0.98699999999999999</v>
      </c>
      <c r="N6" s="22" t="s">
        <v>198</v>
      </c>
      <c r="O6" s="24" t="s">
        <v>199</v>
      </c>
      <c r="P6" s="4">
        <v>0.96099999999999997</v>
      </c>
      <c r="Q6" s="39">
        <v>1.112E-5</v>
      </c>
      <c r="R6" s="23" t="s">
        <v>197</v>
      </c>
      <c r="S6" s="26">
        <v>61</v>
      </c>
      <c r="T6">
        <f t="shared" si="0"/>
        <v>0</v>
      </c>
      <c r="U6">
        <f t="shared" si="1"/>
        <v>61</v>
      </c>
      <c r="V6">
        <f t="shared" si="2"/>
        <v>0</v>
      </c>
      <c r="W6">
        <f t="shared" si="3"/>
        <v>61</v>
      </c>
      <c r="X6">
        <f t="shared" si="4"/>
        <v>0</v>
      </c>
      <c r="Y6">
        <f t="shared" si="5"/>
        <v>61</v>
      </c>
      <c r="Z6">
        <f t="shared" si="6"/>
        <v>61</v>
      </c>
      <c r="AA6">
        <f t="shared" si="7"/>
        <v>0</v>
      </c>
      <c r="AB6">
        <f t="shared" si="8"/>
        <v>60</v>
      </c>
      <c r="AC6">
        <f t="shared" si="9"/>
        <v>1</v>
      </c>
      <c r="AD6">
        <f t="shared" si="10"/>
        <v>2</v>
      </c>
      <c r="AE6">
        <f t="shared" si="11"/>
        <v>59</v>
      </c>
      <c r="AF6">
        <f t="shared" si="12"/>
        <v>0</v>
      </c>
      <c r="AG6">
        <f t="shared" si="13"/>
        <v>58</v>
      </c>
    </row>
    <row r="7" spans="2:33" ht="27" thickBot="1" x14ac:dyDescent="0.25">
      <c r="B7" s="27" t="s">
        <v>200</v>
      </c>
      <c r="C7" s="27">
        <v>1</v>
      </c>
      <c r="D7" s="26">
        <v>76</v>
      </c>
      <c r="E7" s="24">
        <v>0</v>
      </c>
      <c r="F7" s="22">
        <v>1</v>
      </c>
      <c r="G7" s="24">
        <v>0</v>
      </c>
      <c r="H7" s="22">
        <v>1</v>
      </c>
      <c r="I7" s="8">
        <v>3.9309999999999999E-8</v>
      </c>
      <c r="J7" s="26" t="s">
        <v>188</v>
      </c>
      <c r="K7" s="24">
        <v>1</v>
      </c>
      <c r="L7" s="22">
        <v>0</v>
      </c>
      <c r="M7" s="4">
        <v>0.98299999999999998</v>
      </c>
      <c r="N7" s="22" t="s">
        <v>201</v>
      </c>
      <c r="O7" s="24" t="s">
        <v>202</v>
      </c>
      <c r="P7" s="4">
        <v>0.86199999999999999</v>
      </c>
      <c r="Q7" s="41">
        <v>0</v>
      </c>
      <c r="R7" s="27" t="s">
        <v>200</v>
      </c>
      <c r="S7" s="26">
        <v>76</v>
      </c>
      <c r="T7">
        <f t="shared" si="0"/>
        <v>0</v>
      </c>
      <c r="U7">
        <f t="shared" si="1"/>
        <v>76</v>
      </c>
      <c r="V7">
        <f t="shared" si="2"/>
        <v>0</v>
      </c>
      <c r="W7">
        <f t="shared" si="3"/>
        <v>76</v>
      </c>
      <c r="X7">
        <f t="shared" si="4"/>
        <v>0</v>
      </c>
      <c r="Y7">
        <f t="shared" si="5"/>
        <v>76</v>
      </c>
      <c r="Z7">
        <f t="shared" si="6"/>
        <v>76</v>
      </c>
      <c r="AA7">
        <f t="shared" si="7"/>
        <v>0</v>
      </c>
      <c r="AB7">
        <f t="shared" si="8"/>
        <v>75</v>
      </c>
      <c r="AC7">
        <f t="shared" si="9"/>
        <v>1</v>
      </c>
      <c r="AD7">
        <f t="shared" si="10"/>
        <v>10</v>
      </c>
      <c r="AE7">
        <f t="shared" si="11"/>
        <v>66</v>
      </c>
      <c r="AF7">
        <f t="shared" si="12"/>
        <v>0</v>
      </c>
      <c r="AG7">
        <f t="shared" si="13"/>
        <v>65</v>
      </c>
    </row>
    <row r="8" spans="2:33" ht="27" thickBot="1" x14ac:dyDescent="0.25">
      <c r="B8" s="27" t="s">
        <v>203</v>
      </c>
      <c r="C8" s="27">
        <v>1</v>
      </c>
      <c r="D8" s="26">
        <v>28</v>
      </c>
      <c r="E8" s="24">
        <v>0</v>
      </c>
      <c r="F8" s="22">
        <v>1</v>
      </c>
      <c r="G8" s="24">
        <v>0</v>
      </c>
      <c r="H8" s="22">
        <v>1</v>
      </c>
      <c r="I8" s="4" t="s">
        <v>204</v>
      </c>
      <c r="J8" s="7">
        <v>0.98799999999999999</v>
      </c>
      <c r="K8" s="24">
        <v>1</v>
      </c>
      <c r="L8" s="22">
        <v>0</v>
      </c>
      <c r="M8" s="36" t="s">
        <v>188</v>
      </c>
      <c r="N8" s="15">
        <v>3.4959999999999997E-8</v>
      </c>
      <c r="O8" s="24" t="s">
        <v>205</v>
      </c>
      <c r="P8" s="4">
        <v>0.95899999999999996</v>
      </c>
      <c r="Q8" s="39">
        <v>1.3149999999999999E-5</v>
      </c>
      <c r="R8" s="27" t="s">
        <v>203</v>
      </c>
      <c r="S8" s="26">
        <v>28</v>
      </c>
      <c r="T8">
        <f t="shared" si="0"/>
        <v>0</v>
      </c>
      <c r="U8">
        <f t="shared" si="1"/>
        <v>28</v>
      </c>
      <c r="V8">
        <f t="shared" si="2"/>
        <v>0</v>
      </c>
      <c r="W8">
        <f t="shared" si="3"/>
        <v>28</v>
      </c>
      <c r="X8">
        <f t="shared" si="4"/>
        <v>0</v>
      </c>
      <c r="Y8">
        <f t="shared" si="5"/>
        <v>28</v>
      </c>
      <c r="Z8">
        <f t="shared" si="6"/>
        <v>28</v>
      </c>
      <c r="AA8">
        <f t="shared" si="7"/>
        <v>0</v>
      </c>
      <c r="AB8">
        <f t="shared" si="8"/>
        <v>28</v>
      </c>
      <c r="AC8">
        <f t="shared" si="9"/>
        <v>0</v>
      </c>
      <c r="AD8">
        <f t="shared" si="10"/>
        <v>1</v>
      </c>
      <c r="AE8">
        <f t="shared" si="11"/>
        <v>27</v>
      </c>
      <c r="AF8">
        <f t="shared" si="12"/>
        <v>0</v>
      </c>
      <c r="AG8">
        <f t="shared" si="13"/>
        <v>27</v>
      </c>
    </row>
    <row r="9" spans="2:33" ht="27" thickBot="1" x14ac:dyDescent="0.25">
      <c r="B9" s="27" t="s">
        <v>206</v>
      </c>
      <c r="C9" s="27">
        <v>1</v>
      </c>
      <c r="D9" s="26">
        <v>80</v>
      </c>
      <c r="E9" s="24">
        <v>0</v>
      </c>
      <c r="F9" s="22">
        <v>1</v>
      </c>
      <c r="G9" s="8">
        <v>4.4460000000000002E-8</v>
      </c>
      <c r="H9" s="29" t="s">
        <v>188</v>
      </c>
      <c r="I9" s="24" t="s">
        <v>207</v>
      </c>
      <c r="J9" s="7">
        <v>0.98199999999999998</v>
      </c>
      <c r="K9" s="24">
        <v>1</v>
      </c>
      <c r="L9" s="22">
        <v>0</v>
      </c>
      <c r="M9" s="4">
        <v>0.95499999999999996</v>
      </c>
      <c r="N9" s="11" t="s">
        <v>208</v>
      </c>
      <c r="O9" s="24" t="s">
        <v>209</v>
      </c>
      <c r="P9" s="4">
        <v>0.91400000000000003</v>
      </c>
      <c r="Q9" s="38">
        <v>1.2999999999999999E-2</v>
      </c>
      <c r="R9" s="27" t="s">
        <v>206</v>
      </c>
      <c r="S9" s="26">
        <v>80</v>
      </c>
      <c r="T9">
        <f t="shared" si="0"/>
        <v>0</v>
      </c>
      <c r="U9">
        <f t="shared" si="1"/>
        <v>80</v>
      </c>
      <c r="V9">
        <f t="shared" si="2"/>
        <v>0</v>
      </c>
      <c r="W9">
        <f t="shared" si="3"/>
        <v>80</v>
      </c>
      <c r="X9">
        <f t="shared" si="4"/>
        <v>1</v>
      </c>
      <c r="Y9">
        <f t="shared" si="5"/>
        <v>79</v>
      </c>
      <c r="Z9">
        <f t="shared" si="6"/>
        <v>80</v>
      </c>
      <c r="AA9">
        <f t="shared" si="7"/>
        <v>0</v>
      </c>
      <c r="AB9">
        <f t="shared" si="8"/>
        <v>76</v>
      </c>
      <c r="AC9">
        <f t="shared" si="9"/>
        <v>4</v>
      </c>
      <c r="AD9">
        <f t="shared" si="10"/>
        <v>6</v>
      </c>
      <c r="AE9">
        <f t="shared" si="11"/>
        <v>73</v>
      </c>
      <c r="AF9">
        <f t="shared" si="12"/>
        <v>1</v>
      </c>
      <c r="AG9">
        <f t="shared" si="13"/>
        <v>68</v>
      </c>
    </row>
    <row r="10" spans="2:33" ht="27" thickBot="1" x14ac:dyDescent="0.25">
      <c r="B10" s="28" t="s">
        <v>210</v>
      </c>
      <c r="C10" s="27">
        <v>1</v>
      </c>
      <c r="D10" s="26">
        <v>38</v>
      </c>
      <c r="E10" s="24">
        <v>0</v>
      </c>
      <c r="F10" s="22">
        <v>1</v>
      </c>
      <c r="G10" s="24">
        <v>0</v>
      </c>
      <c r="H10" s="22">
        <v>1</v>
      </c>
      <c r="I10" s="24">
        <v>0</v>
      </c>
      <c r="J10" s="22">
        <v>1</v>
      </c>
      <c r="K10" s="25" t="s">
        <v>188</v>
      </c>
      <c r="L10" s="15">
        <v>4.5489999999999999E-8</v>
      </c>
      <c r="M10" s="4">
        <v>0.97499999999999998</v>
      </c>
      <c r="N10" s="22" t="s">
        <v>211</v>
      </c>
      <c r="O10" s="8">
        <v>1.6310000000000001E-9</v>
      </c>
      <c r="P10" s="27" t="s">
        <v>188</v>
      </c>
      <c r="Q10" s="41">
        <v>0</v>
      </c>
      <c r="R10" s="28" t="s">
        <v>210</v>
      </c>
      <c r="S10" s="26">
        <v>38</v>
      </c>
      <c r="T10">
        <f t="shared" si="0"/>
        <v>0</v>
      </c>
      <c r="U10">
        <f t="shared" si="1"/>
        <v>38</v>
      </c>
      <c r="V10">
        <f t="shared" si="2"/>
        <v>0</v>
      </c>
      <c r="W10">
        <f t="shared" si="3"/>
        <v>38</v>
      </c>
      <c r="X10">
        <f t="shared" si="4"/>
        <v>0</v>
      </c>
      <c r="Y10">
        <f t="shared" si="5"/>
        <v>38</v>
      </c>
      <c r="Z10">
        <f t="shared" si="6"/>
        <v>38</v>
      </c>
      <c r="AA10">
        <f t="shared" si="7"/>
        <v>0</v>
      </c>
      <c r="AB10">
        <f t="shared" si="8"/>
        <v>37</v>
      </c>
      <c r="AC10">
        <f t="shared" si="9"/>
        <v>1</v>
      </c>
      <c r="AD10">
        <f t="shared" si="10"/>
        <v>0</v>
      </c>
      <c r="AE10">
        <f t="shared" si="11"/>
        <v>38</v>
      </c>
      <c r="AF10">
        <f t="shared" si="12"/>
        <v>0</v>
      </c>
      <c r="AG10">
        <f t="shared" si="13"/>
        <v>37</v>
      </c>
    </row>
    <row r="11" spans="2:33" ht="27" thickBot="1" x14ac:dyDescent="0.25">
      <c r="B11" s="27" t="s">
        <v>212</v>
      </c>
      <c r="C11" s="27">
        <v>1</v>
      </c>
      <c r="D11" s="26">
        <v>30</v>
      </c>
      <c r="E11" s="8">
        <v>3.5630000000000002E-8</v>
      </c>
      <c r="F11" s="26" t="s">
        <v>188</v>
      </c>
      <c r="G11" s="4" t="s">
        <v>196</v>
      </c>
      <c r="H11" s="6">
        <v>0.99399999999999999</v>
      </c>
      <c r="I11" s="5" t="s">
        <v>213</v>
      </c>
      <c r="J11" s="26" t="s">
        <v>188</v>
      </c>
      <c r="K11" s="24">
        <v>1</v>
      </c>
      <c r="L11" s="22">
        <v>0</v>
      </c>
      <c r="M11" s="4">
        <v>0.99399999999999999</v>
      </c>
      <c r="N11" s="7" t="s">
        <v>196</v>
      </c>
      <c r="O11" s="24" t="s">
        <v>214</v>
      </c>
      <c r="P11" s="4">
        <v>0.80700000000000005</v>
      </c>
      <c r="Q11" s="39">
        <v>8.7770000000000008E-6</v>
      </c>
      <c r="R11" s="27" t="s">
        <v>212</v>
      </c>
      <c r="S11" s="26">
        <v>30</v>
      </c>
      <c r="T11">
        <f t="shared" si="0"/>
        <v>0</v>
      </c>
      <c r="U11">
        <f t="shared" si="1"/>
        <v>30</v>
      </c>
      <c r="V11">
        <f t="shared" si="2"/>
        <v>0</v>
      </c>
      <c r="W11">
        <f t="shared" si="3"/>
        <v>30</v>
      </c>
      <c r="X11">
        <f t="shared" si="4"/>
        <v>0</v>
      </c>
      <c r="Y11">
        <f t="shared" si="5"/>
        <v>30</v>
      </c>
      <c r="Z11">
        <f t="shared" si="6"/>
        <v>30</v>
      </c>
      <c r="AA11">
        <f t="shared" si="7"/>
        <v>0</v>
      </c>
      <c r="AB11">
        <f t="shared" si="8"/>
        <v>30</v>
      </c>
      <c r="AC11">
        <f t="shared" si="9"/>
        <v>0</v>
      </c>
      <c r="AD11">
        <f t="shared" si="10"/>
        <v>6</v>
      </c>
      <c r="AE11">
        <f t="shared" si="11"/>
        <v>24</v>
      </c>
      <c r="AF11">
        <f t="shared" si="12"/>
        <v>0</v>
      </c>
      <c r="AG11">
        <f t="shared" si="13"/>
        <v>24</v>
      </c>
    </row>
    <row r="12" spans="2:33" x14ac:dyDescent="0.2">
      <c r="B12" s="28" t="s">
        <v>215</v>
      </c>
      <c r="C12" s="27">
        <v>1</v>
      </c>
      <c r="D12" s="26">
        <v>70</v>
      </c>
      <c r="E12" s="24">
        <v>0</v>
      </c>
      <c r="F12" s="22">
        <v>1</v>
      </c>
      <c r="G12" s="24">
        <v>0</v>
      </c>
      <c r="H12" s="22">
        <v>1</v>
      </c>
      <c r="I12" s="24">
        <v>0</v>
      </c>
      <c r="J12" s="22">
        <v>1</v>
      </c>
      <c r="K12" s="24">
        <v>1</v>
      </c>
      <c r="L12" s="22">
        <v>0</v>
      </c>
      <c r="M12" s="36" t="s">
        <v>188</v>
      </c>
      <c r="N12" s="6" t="s">
        <v>213</v>
      </c>
      <c r="O12" s="24">
        <v>0</v>
      </c>
      <c r="P12" s="23">
        <v>1</v>
      </c>
      <c r="Q12" s="41">
        <v>0</v>
      </c>
      <c r="R12" s="28" t="s">
        <v>215</v>
      </c>
      <c r="S12" s="26">
        <v>70</v>
      </c>
      <c r="T12" s="44">
        <f t="shared" si="0"/>
        <v>0</v>
      </c>
      <c r="U12" s="44">
        <f t="shared" si="1"/>
        <v>70</v>
      </c>
      <c r="V12" s="44">
        <f t="shared" si="2"/>
        <v>0</v>
      </c>
      <c r="W12" s="44">
        <f t="shared" si="3"/>
        <v>70</v>
      </c>
      <c r="X12" s="44">
        <f t="shared" si="4"/>
        <v>0</v>
      </c>
      <c r="Y12" s="44">
        <f t="shared" si="5"/>
        <v>70</v>
      </c>
      <c r="Z12" s="44">
        <f t="shared" si="6"/>
        <v>70</v>
      </c>
      <c r="AA12" s="44">
        <f t="shared" si="7"/>
        <v>0</v>
      </c>
      <c r="AB12" s="44">
        <f t="shared" si="8"/>
        <v>70</v>
      </c>
      <c r="AC12" s="44">
        <f t="shared" si="9"/>
        <v>0</v>
      </c>
      <c r="AD12" s="44">
        <f t="shared" si="10"/>
        <v>0</v>
      </c>
      <c r="AE12" s="44">
        <f t="shared" si="11"/>
        <v>70</v>
      </c>
      <c r="AF12" s="44">
        <f t="shared" si="12"/>
        <v>0</v>
      </c>
      <c r="AG12">
        <f t="shared" si="13"/>
        <v>70</v>
      </c>
    </row>
    <row r="13" spans="2:33" ht="17" thickBot="1" x14ac:dyDescent="0.25">
      <c r="B13" s="10" t="s">
        <v>216</v>
      </c>
      <c r="C13" s="10">
        <v>1</v>
      </c>
      <c r="D13" s="12">
        <v>50</v>
      </c>
      <c r="E13" s="13">
        <v>0</v>
      </c>
      <c r="F13" s="14">
        <v>1</v>
      </c>
      <c r="G13" s="13">
        <v>0</v>
      </c>
      <c r="H13" s="14">
        <v>1</v>
      </c>
      <c r="I13" s="13">
        <v>0</v>
      </c>
      <c r="J13" s="14">
        <v>1</v>
      </c>
      <c r="K13" s="13">
        <v>1</v>
      </c>
      <c r="L13" s="14">
        <v>0</v>
      </c>
      <c r="M13" s="13">
        <v>1</v>
      </c>
      <c r="N13" s="14">
        <v>0</v>
      </c>
      <c r="O13" s="13">
        <v>0</v>
      </c>
      <c r="P13" s="13">
        <v>1</v>
      </c>
      <c r="Q13" s="42">
        <v>0</v>
      </c>
      <c r="R13" s="10" t="s">
        <v>216</v>
      </c>
      <c r="S13" s="12">
        <v>50</v>
      </c>
      <c r="T13" s="44">
        <f t="shared" si="0"/>
        <v>0</v>
      </c>
      <c r="U13" s="44">
        <f t="shared" si="1"/>
        <v>50</v>
      </c>
      <c r="V13" s="44">
        <f t="shared" si="2"/>
        <v>0</v>
      </c>
      <c r="W13" s="44">
        <f t="shared" si="3"/>
        <v>50</v>
      </c>
      <c r="X13" s="44">
        <f t="shared" si="4"/>
        <v>0</v>
      </c>
      <c r="Y13" s="44">
        <f t="shared" si="5"/>
        <v>50</v>
      </c>
      <c r="Z13" s="44">
        <f t="shared" si="6"/>
        <v>50</v>
      </c>
      <c r="AA13" s="44">
        <f t="shared" si="7"/>
        <v>0</v>
      </c>
      <c r="AB13" s="44">
        <f t="shared" si="8"/>
        <v>50</v>
      </c>
      <c r="AC13" s="44">
        <f t="shared" si="9"/>
        <v>0</v>
      </c>
      <c r="AD13" s="44">
        <f t="shared" si="10"/>
        <v>0</v>
      </c>
      <c r="AE13" s="44">
        <f t="shared" si="11"/>
        <v>50</v>
      </c>
      <c r="AF13" s="44">
        <f t="shared" si="12"/>
        <v>0</v>
      </c>
      <c r="AG13">
        <f t="shared" si="13"/>
        <v>50</v>
      </c>
    </row>
    <row r="14" spans="2:33" ht="26" x14ac:dyDescent="0.2">
      <c r="B14" s="27" t="s">
        <v>217</v>
      </c>
      <c r="C14" s="27">
        <v>1</v>
      </c>
      <c r="D14" s="26">
        <v>25</v>
      </c>
      <c r="E14" s="24" t="s">
        <v>218</v>
      </c>
      <c r="F14" s="7">
        <v>0.95599999999999996</v>
      </c>
      <c r="G14" s="24">
        <v>0</v>
      </c>
      <c r="H14" s="22">
        <v>1</v>
      </c>
      <c r="I14" s="24">
        <v>0</v>
      </c>
      <c r="J14" s="22">
        <v>1</v>
      </c>
      <c r="K14" s="24">
        <v>1</v>
      </c>
      <c r="L14" s="22">
        <v>0</v>
      </c>
      <c r="M14" s="4">
        <v>0.92</v>
      </c>
      <c r="N14" s="11" t="s">
        <v>219</v>
      </c>
      <c r="O14" s="8">
        <v>3.0680000000000001E-8</v>
      </c>
      <c r="P14" s="4">
        <v>0.97799999999999998</v>
      </c>
      <c r="Q14" s="38">
        <v>2.1000000000000001E-2</v>
      </c>
      <c r="R14" s="27" t="s">
        <v>217</v>
      </c>
      <c r="S14" s="26">
        <v>25</v>
      </c>
      <c r="T14">
        <f t="shared" si="0"/>
        <v>1</v>
      </c>
      <c r="U14">
        <f t="shared" si="1"/>
        <v>24</v>
      </c>
      <c r="V14">
        <f t="shared" si="2"/>
        <v>0</v>
      </c>
      <c r="W14">
        <f t="shared" si="3"/>
        <v>25</v>
      </c>
      <c r="X14">
        <f t="shared" si="4"/>
        <v>0</v>
      </c>
      <c r="Y14">
        <f t="shared" si="5"/>
        <v>25</v>
      </c>
      <c r="Z14">
        <f t="shared" si="6"/>
        <v>25</v>
      </c>
      <c r="AA14">
        <f t="shared" si="7"/>
        <v>0</v>
      </c>
      <c r="AB14">
        <f t="shared" si="8"/>
        <v>23</v>
      </c>
      <c r="AC14">
        <f t="shared" si="9"/>
        <v>2</v>
      </c>
      <c r="AD14">
        <f t="shared" si="10"/>
        <v>0</v>
      </c>
      <c r="AE14">
        <f t="shared" si="11"/>
        <v>24</v>
      </c>
      <c r="AF14">
        <f t="shared" si="12"/>
        <v>1</v>
      </c>
      <c r="AG14">
        <f t="shared" si="13"/>
        <v>21</v>
      </c>
    </row>
    <row r="15" spans="2:33" ht="17" thickBot="1" x14ac:dyDescent="0.25">
      <c r="B15" s="13" t="s">
        <v>220</v>
      </c>
      <c r="C15" s="10">
        <v>1</v>
      </c>
      <c r="D15" s="12">
        <v>66</v>
      </c>
      <c r="E15" s="13">
        <v>0</v>
      </c>
      <c r="F15" s="14">
        <v>1</v>
      </c>
      <c r="G15" s="13">
        <v>0</v>
      </c>
      <c r="H15" s="14">
        <v>1</v>
      </c>
      <c r="I15" s="13">
        <v>0</v>
      </c>
      <c r="J15" s="14">
        <v>1</v>
      </c>
      <c r="K15" s="13">
        <v>1</v>
      </c>
      <c r="L15" s="14">
        <v>0</v>
      </c>
      <c r="M15" s="13">
        <v>1</v>
      </c>
      <c r="N15" s="14">
        <v>0</v>
      </c>
      <c r="O15" s="13">
        <v>0</v>
      </c>
      <c r="P15" s="13">
        <v>1</v>
      </c>
      <c r="Q15" s="42">
        <v>0</v>
      </c>
      <c r="R15" s="13" t="s">
        <v>220</v>
      </c>
      <c r="S15" s="12">
        <v>66</v>
      </c>
      <c r="T15" s="44">
        <f t="shared" si="0"/>
        <v>0</v>
      </c>
      <c r="U15" s="44">
        <f t="shared" si="1"/>
        <v>66</v>
      </c>
      <c r="V15" s="44">
        <f t="shared" si="2"/>
        <v>0</v>
      </c>
      <c r="W15" s="44">
        <f t="shared" si="3"/>
        <v>66</v>
      </c>
      <c r="X15" s="44">
        <f t="shared" si="4"/>
        <v>0</v>
      </c>
      <c r="Y15" s="44">
        <f t="shared" si="5"/>
        <v>66</v>
      </c>
      <c r="Z15" s="44">
        <f t="shared" si="6"/>
        <v>66</v>
      </c>
      <c r="AA15" s="44">
        <f t="shared" si="7"/>
        <v>0</v>
      </c>
      <c r="AB15" s="44">
        <f t="shared" si="8"/>
        <v>66</v>
      </c>
      <c r="AC15" s="44">
        <f t="shared" si="9"/>
        <v>0</v>
      </c>
      <c r="AD15" s="44">
        <f t="shared" si="10"/>
        <v>0</v>
      </c>
      <c r="AE15" s="44">
        <f t="shared" si="11"/>
        <v>66</v>
      </c>
      <c r="AF15" s="44">
        <f t="shared" si="12"/>
        <v>0</v>
      </c>
      <c r="AG15">
        <f t="shared" si="13"/>
        <v>66</v>
      </c>
    </row>
    <row r="16" spans="2:33" ht="17" thickBot="1" x14ac:dyDescent="0.25">
      <c r="B16" s="23" t="s">
        <v>221</v>
      </c>
      <c r="C16" s="27">
        <v>1</v>
      </c>
      <c r="D16" s="26">
        <v>25</v>
      </c>
      <c r="E16" s="8">
        <v>4.4579999999999999E-8</v>
      </c>
      <c r="F16" s="26" t="s">
        <v>188</v>
      </c>
      <c r="G16" s="24">
        <v>0</v>
      </c>
      <c r="H16" s="22">
        <v>1</v>
      </c>
      <c r="I16" s="24">
        <v>0</v>
      </c>
      <c r="J16" s="22">
        <v>1</v>
      </c>
      <c r="K16" s="24">
        <v>1</v>
      </c>
      <c r="L16" s="22">
        <v>0</v>
      </c>
      <c r="M16" s="24">
        <v>1</v>
      </c>
      <c r="N16" s="22">
        <v>0</v>
      </c>
      <c r="O16" s="5" t="s">
        <v>213</v>
      </c>
      <c r="P16" s="27" t="s">
        <v>188</v>
      </c>
      <c r="Q16" s="41">
        <v>0</v>
      </c>
      <c r="R16" s="23" t="s">
        <v>221</v>
      </c>
      <c r="S16" s="26">
        <v>25</v>
      </c>
      <c r="T16" s="44">
        <f t="shared" si="0"/>
        <v>0</v>
      </c>
      <c r="U16" s="44">
        <f t="shared" si="1"/>
        <v>25</v>
      </c>
      <c r="V16" s="44">
        <f t="shared" si="2"/>
        <v>0</v>
      </c>
      <c r="W16" s="44">
        <f t="shared" si="3"/>
        <v>25</v>
      </c>
      <c r="X16" s="44">
        <f t="shared" si="4"/>
        <v>0</v>
      </c>
      <c r="Y16" s="44">
        <f t="shared" si="5"/>
        <v>25</v>
      </c>
      <c r="Z16" s="44">
        <f t="shared" si="6"/>
        <v>25</v>
      </c>
      <c r="AA16" s="44">
        <f t="shared" si="7"/>
        <v>0</v>
      </c>
      <c r="AB16" s="44">
        <f t="shared" si="8"/>
        <v>25</v>
      </c>
      <c r="AC16" s="44">
        <f t="shared" si="9"/>
        <v>0</v>
      </c>
      <c r="AD16" s="44">
        <f t="shared" si="10"/>
        <v>0</v>
      </c>
      <c r="AE16" s="44">
        <f t="shared" si="11"/>
        <v>25</v>
      </c>
      <c r="AF16" s="44">
        <f t="shared" si="12"/>
        <v>0</v>
      </c>
      <c r="AG16">
        <f t="shared" si="13"/>
        <v>25</v>
      </c>
    </row>
    <row r="17" spans="2:33" x14ac:dyDescent="0.2">
      <c r="B17" s="4" t="s">
        <v>271</v>
      </c>
      <c r="C17" s="27">
        <v>1</v>
      </c>
      <c r="D17" s="26">
        <v>26</v>
      </c>
      <c r="E17" s="24">
        <v>0</v>
      </c>
      <c r="F17" s="22">
        <v>1</v>
      </c>
      <c r="G17" s="24">
        <v>0</v>
      </c>
      <c r="H17" s="22">
        <v>1</v>
      </c>
      <c r="I17" s="24">
        <v>0</v>
      </c>
      <c r="J17" s="22">
        <v>1</v>
      </c>
      <c r="K17" s="24">
        <v>1</v>
      </c>
      <c r="L17" s="22">
        <v>0</v>
      </c>
      <c r="M17" s="36" t="s">
        <v>188</v>
      </c>
      <c r="N17" s="15">
        <v>3.6669999999999997E-8</v>
      </c>
      <c r="O17" s="24">
        <v>0</v>
      </c>
      <c r="P17" s="23">
        <v>1</v>
      </c>
      <c r="Q17" s="41">
        <v>0</v>
      </c>
      <c r="R17" s="4" t="s">
        <v>271</v>
      </c>
      <c r="S17" s="26">
        <v>26</v>
      </c>
      <c r="T17" s="44">
        <f t="shared" si="0"/>
        <v>0</v>
      </c>
      <c r="U17" s="44">
        <f t="shared" si="1"/>
        <v>26</v>
      </c>
      <c r="V17" s="44">
        <f t="shared" si="2"/>
        <v>0</v>
      </c>
      <c r="W17" s="44">
        <f t="shared" si="3"/>
        <v>26</v>
      </c>
      <c r="X17" s="44">
        <f t="shared" si="4"/>
        <v>0</v>
      </c>
      <c r="Y17" s="44">
        <f t="shared" si="5"/>
        <v>26</v>
      </c>
      <c r="Z17" s="44">
        <f t="shared" si="6"/>
        <v>26</v>
      </c>
      <c r="AA17" s="44">
        <f t="shared" si="7"/>
        <v>0</v>
      </c>
      <c r="AB17" s="44">
        <f t="shared" si="8"/>
        <v>26</v>
      </c>
      <c r="AC17" s="44">
        <f t="shared" si="9"/>
        <v>0</v>
      </c>
      <c r="AD17" s="44">
        <f t="shared" si="10"/>
        <v>0</v>
      </c>
      <c r="AE17" s="44">
        <f t="shared" si="11"/>
        <v>26</v>
      </c>
      <c r="AF17" s="44">
        <f t="shared" si="12"/>
        <v>0</v>
      </c>
      <c r="AG17">
        <f t="shared" si="13"/>
        <v>26</v>
      </c>
    </row>
    <row r="18" spans="2:33" ht="17" thickBot="1" x14ac:dyDescent="0.25">
      <c r="B18" s="13" t="s">
        <v>222</v>
      </c>
      <c r="C18" s="10">
        <v>1</v>
      </c>
      <c r="D18" s="12">
        <v>28</v>
      </c>
      <c r="E18" s="13">
        <v>0</v>
      </c>
      <c r="F18" s="14">
        <v>1</v>
      </c>
      <c r="G18" s="13">
        <v>0</v>
      </c>
      <c r="H18" s="14">
        <v>1</v>
      </c>
      <c r="I18" s="13">
        <v>0</v>
      </c>
      <c r="J18" s="14">
        <v>1</v>
      </c>
      <c r="K18" s="13">
        <v>1</v>
      </c>
      <c r="L18" s="14">
        <v>0</v>
      </c>
      <c r="M18" s="13">
        <v>1</v>
      </c>
      <c r="N18" s="14">
        <v>0</v>
      </c>
      <c r="O18" s="13">
        <v>0</v>
      </c>
      <c r="P18" s="13">
        <v>1</v>
      </c>
      <c r="Q18" s="42">
        <v>0</v>
      </c>
      <c r="R18" s="13" t="s">
        <v>222</v>
      </c>
      <c r="S18" s="12">
        <v>28</v>
      </c>
      <c r="T18" s="44">
        <f t="shared" si="0"/>
        <v>0</v>
      </c>
      <c r="U18" s="44">
        <f t="shared" si="1"/>
        <v>28</v>
      </c>
      <c r="V18" s="44">
        <f t="shared" si="2"/>
        <v>0</v>
      </c>
      <c r="W18" s="44">
        <f t="shared" si="3"/>
        <v>28</v>
      </c>
      <c r="X18" s="44">
        <f t="shared" si="4"/>
        <v>0</v>
      </c>
      <c r="Y18" s="44">
        <f t="shared" si="5"/>
        <v>28</v>
      </c>
      <c r="Z18" s="44">
        <f t="shared" si="6"/>
        <v>28</v>
      </c>
      <c r="AA18" s="44">
        <f t="shared" si="7"/>
        <v>0</v>
      </c>
      <c r="AB18" s="44">
        <f t="shared" si="8"/>
        <v>28</v>
      </c>
      <c r="AC18" s="44">
        <f t="shared" si="9"/>
        <v>0</v>
      </c>
      <c r="AD18" s="44">
        <f t="shared" si="10"/>
        <v>0</v>
      </c>
      <c r="AE18" s="44">
        <f t="shared" si="11"/>
        <v>28</v>
      </c>
      <c r="AF18" s="44">
        <f t="shared" si="12"/>
        <v>0</v>
      </c>
      <c r="AG18">
        <f t="shared" si="13"/>
        <v>28</v>
      </c>
    </row>
    <row r="19" spans="2:33" ht="17" thickBot="1" x14ac:dyDescent="0.25">
      <c r="B19" s="27" t="s">
        <v>223</v>
      </c>
      <c r="C19" s="27">
        <v>1</v>
      </c>
      <c r="D19" s="26">
        <v>55</v>
      </c>
      <c r="E19" s="24">
        <v>0</v>
      </c>
      <c r="F19" s="22">
        <v>1</v>
      </c>
      <c r="G19" s="24">
        <v>0</v>
      </c>
      <c r="H19" s="22">
        <v>1</v>
      </c>
      <c r="I19" s="24">
        <v>0</v>
      </c>
      <c r="J19" s="22">
        <v>1</v>
      </c>
      <c r="K19" s="17">
        <v>0.99399999999999999</v>
      </c>
      <c r="L19" s="18" t="s">
        <v>196</v>
      </c>
      <c r="M19" s="24">
        <v>1</v>
      </c>
      <c r="N19" s="22">
        <v>0</v>
      </c>
      <c r="O19" s="24">
        <v>0</v>
      </c>
      <c r="P19" s="23">
        <v>1</v>
      </c>
      <c r="Q19" s="41">
        <v>0</v>
      </c>
      <c r="R19" s="27" t="s">
        <v>223</v>
      </c>
      <c r="S19" s="26">
        <v>55</v>
      </c>
      <c r="T19" s="44">
        <f t="shared" si="0"/>
        <v>0</v>
      </c>
      <c r="U19" s="44">
        <f t="shared" si="1"/>
        <v>55</v>
      </c>
      <c r="V19" s="44">
        <f t="shared" si="2"/>
        <v>0</v>
      </c>
      <c r="W19" s="44">
        <f t="shared" si="3"/>
        <v>55</v>
      </c>
      <c r="X19" s="44">
        <f t="shared" si="4"/>
        <v>0</v>
      </c>
      <c r="Y19" s="44">
        <f t="shared" si="5"/>
        <v>55</v>
      </c>
      <c r="Z19" s="44">
        <f t="shared" si="6"/>
        <v>55</v>
      </c>
      <c r="AA19" s="44">
        <f t="shared" si="7"/>
        <v>0</v>
      </c>
      <c r="AB19" s="44">
        <f t="shared" si="8"/>
        <v>55</v>
      </c>
      <c r="AC19" s="44">
        <f t="shared" si="9"/>
        <v>0</v>
      </c>
      <c r="AD19" s="44">
        <f t="shared" si="10"/>
        <v>0</v>
      </c>
      <c r="AE19" s="44">
        <f t="shared" si="11"/>
        <v>55</v>
      </c>
      <c r="AF19" s="44">
        <f t="shared" si="12"/>
        <v>0</v>
      </c>
      <c r="AG19">
        <f t="shared" si="13"/>
        <v>55</v>
      </c>
    </row>
    <row r="20" spans="2:33" ht="17" thickBot="1" x14ac:dyDescent="0.25">
      <c r="B20" s="23" t="s">
        <v>224</v>
      </c>
      <c r="C20" s="27">
        <v>1</v>
      </c>
      <c r="D20" s="26">
        <v>29</v>
      </c>
      <c r="E20" s="24">
        <v>0</v>
      </c>
      <c r="F20" s="22">
        <v>1</v>
      </c>
      <c r="G20" s="24">
        <v>0</v>
      </c>
      <c r="H20" s="22">
        <v>1</v>
      </c>
      <c r="I20" s="24">
        <v>0</v>
      </c>
      <c r="J20" s="22">
        <v>1</v>
      </c>
      <c r="K20" s="24">
        <v>1</v>
      </c>
      <c r="L20" s="22">
        <v>0</v>
      </c>
      <c r="M20" s="24">
        <v>1</v>
      </c>
      <c r="N20" s="22">
        <v>0</v>
      </c>
      <c r="O20" s="8">
        <v>5.1130000000000002E-8</v>
      </c>
      <c r="P20" s="27" t="s">
        <v>188</v>
      </c>
      <c r="Q20" s="41">
        <v>0</v>
      </c>
      <c r="R20" s="23" t="s">
        <v>224</v>
      </c>
      <c r="S20" s="26">
        <v>29</v>
      </c>
      <c r="T20" s="44">
        <f t="shared" si="0"/>
        <v>0</v>
      </c>
      <c r="U20" s="44">
        <f t="shared" si="1"/>
        <v>29</v>
      </c>
      <c r="V20" s="44">
        <f t="shared" si="2"/>
        <v>0</v>
      </c>
      <c r="W20" s="44">
        <f t="shared" si="3"/>
        <v>29</v>
      </c>
      <c r="X20" s="44">
        <f t="shared" si="4"/>
        <v>0</v>
      </c>
      <c r="Y20" s="44">
        <f t="shared" si="5"/>
        <v>29</v>
      </c>
      <c r="Z20" s="44">
        <f t="shared" si="6"/>
        <v>29</v>
      </c>
      <c r="AA20" s="44">
        <f t="shared" si="7"/>
        <v>0</v>
      </c>
      <c r="AB20" s="44">
        <f t="shared" si="8"/>
        <v>29</v>
      </c>
      <c r="AC20" s="44">
        <f t="shared" si="9"/>
        <v>0</v>
      </c>
      <c r="AD20" s="44">
        <f t="shared" si="10"/>
        <v>0</v>
      </c>
      <c r="AE20" s="44">
        <f t="shared" si="11"/>
        <v>29</v>
      </c>
      <c r="AF20" s="44">
        <f t="shared" si="12"/>
        <v>0</v>
      </c>
      <c r="AG20">
        <f t="shared" si="13"/>
        <v>29</v>
      </c>
    </row>
    <row r="21" spans="2:33" x14ac:dyDescent="0.2">
      <c r="B21" s="23" t="s">
        <v>225</v>
      </c>
      <c r="C21" s="27">
        <v>1</v>
      </c>
      <c r="D21" s="26">
        <v>33</v>
      </c>
      <c r="E21" s="24">
        <v>0</v>
      </c>
      <c r="F21" s="22">
        <v>1</v>
      </c>
      <c r="G21" s="24">
        <v>0</v>
      </c>
      <c r="H21" s="22">
        <v>1</v>
      </c>
      <c r="I21" s="24">
        <v>0</v>
      </c>
      <c r="J21" s="22">
        <v>1</v>
      </c>
      <c r="K21" s="25" t="s">
        <v>188</v>
      </c>
      <c r="L21" s="15">
        <v>3.7359999999999998E-8</v>
      </c>
      <c r="M21" s="24">
        <v>1</v>
      </c>
      <c r="N21" s="22">
        <v>0</v>
      </c>
      <c r="O21" s="24">
        <v>0</v>
      </c>
      <c r="P21" s="23">
        <v>1</v>
      </c>
      <c r="Q21" s="41">
        <v>0</v>
      </c>
      <c r="R21" s="23" t="s">
        <v>225</v>
      </c>
      <c r="S21" s="26">
        <v>33</v>
      </c>
      <c r="T21" s="44">
        <f t="shared" si="0"/>
        <v>0</v>
      </c>
      <c r="U21" s="44">
        <f t="shared" si="1"/>
        <v>33</v>
      </c>
      <c r="V21" s="44">
        <f t="shared" si="2"/>
        <v>0</v>
      </c>
      <c r="W21" s="44">
        <f t="shared" si="3"/>
        <v>33</v>
      </c>
      <c r="X21" s="44">
        <f t="shared" si="4"/>
        <v>0</v>
      </c>
      <c r="Y21" s="44">
        <f t="shared" si="5"/>
        <v>33</v>
      </c>
      <c r="Z21" s="44">
        <f t="shared" si="6"/>
        <v>33</v>
      </c>
      <c r="AA21" s="44">
        <f t="shared" si="7"/>
        <v>0</v>
      </c>
      <c r="AB21" s="44">
        <f t="shared" si="8"/>
        <v>33</v>
      </c>
      <c r="AC21" s="44">
        <f t="shared" si="9"/>
        <v>0</v>
      </c>
      <c r="AD21" s="44">
        <f t="shared" si="10"/>
        <v>0</v>
      </c>
      <c r="AE21" s="44">
        <f t="shared" si="11"/>
        <v>33</v>
      </c>
      <c r="AF21" s="44">
        <f t="shared" si="12"/>
        <v>0</v>
      </c>
      <c r="AG21">
        <f t="shared" si="13"/>
        <v>33</v>
      </c>
    </row>
    <row r="22" spans="2:33" ht="17" thickBot="1" x14ac:dyDescent="0.25">
      <c r="B22" s="10" t="s">
        <v>226</v>
      </c>
      <c r="C22" s="10">
        <v>1</v>
      </c>
      <c r="D22" s="12">
        <v>29</v>
      </c>
      <c r="E22" s="13">
        <v>0</v>
      </c>
      <c r="F22" s="14">
        <v>1</v>
      </c>
      <c r="G22" s="13">
        <v>0</v>
      </c>
      <c r="H22" s="14">
        <v>1</v>
      </c>
      <c r="I22" s="13">
        <v>0</v>
      </c>
      <c r="J22" s="14">
        <v>1</v>
      </c>
      <c r="K22" s="13">
        <v>1</v>
      </c>
      <c r="L22" s="14">
        <v>0</v>
      </c>
      <c r="M22" s="13">
        <v>1</v>
      </c>
      <c r="N22" s="14">
        <v>0</v>
      </c>
      <c r="O22" s="13">
        <v>0</v>
      </c>
      <c r="P22" s="13">
        <v>1</v>
      </c>
      <c r="Q22" s="42">
        <v>0</v>
      </c>
      <c r="R22" s="10" t="s">
        <v>226</v>
      </c>
      <c r="S22" s="12">
        <v>29</v>
      </c>
      <c r="T22" s="44">
        <f t="shared" si="0"/>
        <v>0</v>
      </c>
      <c r="U22" s="44">
        <f t="shared" si="1"/>
        <v>29</v>
      </c>
      <c r="V22" s="44">
        <f t="shared" si="2"/>
        <v>0</v>
      </c>
      <c r="W22" s="44">
        <f t="shared" si="3"/>
        <v>29</v>
      </c>
      <c r="X22" s="44">
        <f t="shared" si="4"/>
        <v>0</v>
      </c>
      <c r="Y22" s="44">
        <f t="shared" si="5"/>
        <v>29</v>
      </c>
      <c r="Z22" s="44">
        <f t="shared" si="6"/>
        <v>29</v>
      </c>
      <c r="AA22" s="44">
        <f t="shared" si="7"/>
        <v>0</v>
      </c>
      <c r="AB22" s="44">
        <f t="shared" si="8"/>
        <v>29</v>
      </c>
      <c r="AC22" s="44">
        <f t="shared" si="9"/>
        <v>0</v>
      </c>
      <c r="AD22" s="44">
        <f t="shared" si="10"/>
        <v>0</v>
      </c>
      <c r="AE22" s="44">
        <f t="shared" si="11"/>
        <v>29</v>
      </c>
      <c r="AF22" s="44">
        <f t="shared" si="12"/>
        <v>0</v>
      </c>
      <c r="AG22">
        <f t="shared" si="13"/>
        <v>29</v>
      </c>
    </row>
    <row r="23" spans="2:33" ht="17" thickBot="1" x14ac:dyDescent="0.25">
      <c r="B23" s="13" t="s">
        <v>227</v>
      </c>
      <c r="C23" s="10">
        <v>1</v>
      </c>
      <c r="D23" s="12">
        <v>64</v>
      </c>
      <c r="E23" s="13">
        <v>0</v>
      </c>
      <c r="F23" s="14">
        <v>1</v>
      </c>
      <c r="G23" s="13">
        <v>0</v>
      </c>
      <c r="H23" s="14">
        <v>1</v>
      </c>
      <c r="I23" s="13">
        <v>0</v>
      </c>
      <c r="J23" s="14">
        <v>1</v>
      </c>
      <c r="K23" s="13">
        <v>1</v>
      </c>
      <c r="L23" s="14">
        <v>0</v>
      </c>
      <c r="M23" s="13">
        <v>1</v>
      </c>
      <c r="N23" s="14">
        <v>0</v>
      </c>
      <c r="O23" s="13">
        <v>0</v>
      </c>
      <c r="P23" s="13">
        <v>1</v>
      </c>
      <c r="Q23" s="42">
        <v>0</v>
      </c>
      <c r="R23" s="13" t="s">
        <v>227</v>
      </c>
      <c r="S23" s="12">
        <v>64</v>
      </c>
      <c r="T23" s="44">
        <f t="shared" si="0"/>
        <v>0</v>
      </c>
      <c r="U23" s="44">
        <f t="shared" si="1"/>
        <v>64</v>
      </c>
      <c r="V23" s="44">
        <f t="shared" si="2"/>
        <v>0</v>
      </c>
      <c r="W23" s="44">
        <f t="shared" si="3"/>
        <v>64</v>
      </c>
      <c r="X23" s="44">
        <f t="shared" si="4"/>
        <v>0</v>
      </c>
      <c r="Y23" s="44">
        <f t="shared" si="5"/>
        <v>64</v>
      </c>
      <c r="Z23" s="44">
        <f t="shared" si="6"/>
        <v>64</v>
      </c>
      <c r="AA23" s="44">
        <f t="shared" si="7"/>
        <v>0</v>
      </c>
      <c r="AB23" s="44">
        <f t="shared" si="8"/>
        <v>64</v>
      </c>
      <c r="AC23" s="44">
        <f t="shared" si="9"/>
        <v>0</v>
      </c>
      <c r="AD23" s="44">
        <f t="shared" si="10"/>
        <v>0</v>
      </c>
      <c r="AE23" s="44">
        <f t="shared" si="11"/>
        <v>64</v>
      </c>
      <c r="AF23" s="44">
        <f t="shared" si="12"/>
        <v>0</v>
      </c>
      <c r="AG23">
        <f t="shared" si="13"/>
        <v>64</v>
      </c>
    </row>
    <row r="24" spans="2:33" ht="17" thickBot="1" x14ac:dyDescent="0.25">
      <c r="B24" s="13" t="s">
        <v>228</v>
      </c>
      <c r="C24" s="10">
        <v>1</v>
      </c>
      <c r="D24" s="12">
        <v>27</v>
      </c>
      <c r="E24" s="13">
        <v>0</v>
      </c>
      <c r="F24" s="14">
        <v>1</v>
      </c>
      <c r="G24" s="13">
        <v>0</v>
      </c>
      <c r="H24" s="14">
        <v>1</v>
      </c>
      <c r="I24" s="13">
        <v>0</v>
      </c>
      <c r="J24" s="14">
        <v>1</v>
      </c>
      <c r="K24" s="13">
        <v>1</v>
      </c>
      <c r="L24" s="14">
        <v>0</v>
      </c>
      <c r="M24" s="13">
        <v>1</v>
      </c>
      <c r="N24" s="14">
        <v>0</v>
      </c>
      <c r="O24" s="13">
        <v>0</v>
      </c>
      <c r="P24" s="13">
        <v>1</v>
      </c>
      <c r="Q24" s="42">
        <v>0</v>
      </c>
      <c r="R24" s="13" t="s">
        <v>228</v>
      </c>
      <c r="S24" s="12">
        <v>27</v>
      </c>
      <c r="T24" s="44">
        <f t="shared" si="0"/>
        <v>0</v>
      </c>
      <c r="U24" s="44">
        <f t="shared" si="1"/>
        <v>27</v>
      </c>
      <c r="V24" s="44">
        <f t="shared" si="2"/>
        <v>0</v>
      </c>
      <c r="W24" s="44">
        <f t="shared" si="3"/>
        <v>27</v>
      </c>
      <c r="X24" s="44">
        <f t="shared" si="4"/>
        <v>0</v>
      </c>
      <c r="Y24" s="44">
        <f t="shared" si="5"/>
        <v>27</v>
      </c>
      <c r="Z24" s="44">
        <f t="shared" si="6"/>
        <v>27</v>
      </c>
      <c r="AA24" s="44">
        <f t="shared" si="7"/>
        <v>0</v>
      </c>
      <c r="AB24" s="44">
        <f t="shared" si="8"/>
        <v>27</v>
      </c>
      <c r="AC24" s="44">
        <f t="shared" si="9"/>
        <v>0</v>
      </c>
      <c r="AD24" s="44">
        <f t="shared" si="10"/>
        <v>0</v>
      </c>
      <c r="AE24" s="44">
        <f t="shared" si="11"/>
        <v>27</v>
      </c>
      <c r="AF24" s="44">
        <f t="shared" si="12"/>
        <v>0</v>
      </c>
      <c r="AG24">
        <f t="shared" si="13"/>
        <v>27</v>
      </c>
    </row>
    <row r="25" spans="2:33" ht="17" thickBot="1" x14ac:dyDescent="0.25">
      <c r="B25" s="13" t="s">
        <v>229</v>
      </c>
      <c r="C25" s="10">
        <v>1</v>
      </c>
      <c r="D25" s="12">
        <v>71</v>
      </c>
      <c r="E25" s="13">
        <v>0</v>
      </c>
      <c r="F25" s="14">
        <v>1</v>
      </c>
      <c r="G25" s="13">
        <v>0</v>
      </c>
      <c r="H25" s="14">
        <v>1</v>
      </c>
      <c r="I25" s="13">
        <v>0</v>
      </c>
      <c r="J25" s="14">
        <v>1</v>
      </c>
      <c r="K25" s="13">
        <v>1</v>
      </c>
      <c r="L25" s="14">
        <v>0</v>
      </c>
      <c r="M25" s="13">
        <v>1</v>
      </c>
      <c r="N25" s="14">
        <v>0</v>
      </c>
      <c r="O25" s="13">
        <v>0</v>
      </c>
      <c r="P25" s="13">
        <v>1</v>
      </c>
      <c r="Q25" s="42">
        <v>0</v>
      </c>
      <c r="R25" s="13" t="s">
        <v>229</v>
      </c>
      <c r="S25" s="12">
        <v>71</v>
      </c>
      <c r="T25" s="44">
        <f t="shared" si="0"/>
        <v>0</v>
      </c>
      <c r="U25" s="44">
        <f t="shared" si="1"/>
        <v>71</v>
      </c>
      <c r="V25" s="44">
        <f t="shared" si="2"/>
        <v>0</v>
      </c>
      <c r="W25" s="44">
        <f t="shared" si="3"/>
        <v>71</v>
      </c>
      <c r="X25" s="44">
        <f t="shared" si="4"/>
        <v>0</v>
      </c>
      <c r="Y25" s="44">
        <f t="shared" si="5"/>
        <v>71</v>
      </c>
      <c r="Z25" s="44">
        <f t="shared" si="6"/>
        <v>71</v>
      </c>
      <c r="AA25" s="44">
        <f t="shared" si="7"/>
        <v>0</v>
      </c>
      <c r="AB25" s="44">
        <f t="shared" si="8"/>
        <v>71</v>
      </c>
      <c r="AC25" s="44">
        <f t="shared" si="9"/>
        <v>0</v>
      </c>
      <c r="AD25" s="44">
        <f t="shared" si="10"/>
        <v>0</v>
      </c>
      <c r="AE25" s="44">
        <f t="shared" si="11"/>
        <v>71</v>
      </c>
      <c r="AF25" s="44">
        <f t="shared" si="12"/>
        <v>0</v>
      </c>
      <c r="AG25">
        <f t="shared" si="13"/>
        <v>71</v>
      </c>
    </row>
    <row r="26" spans="2:33" ht="16" customHeight="1" thickBot="1" x14ac:dyDescent="0.25">
      <c r="B26" s="23" t="s">
        <v>230</v>
      </c>
      <c r="C26" s="27">
        <v>4</v>
      </c>
      <c r="D26" s="29">
        <v>143</v>
      </c>
      <c r="E26" s="24" t="s">
        <v>231</v>
      </c>
      <c r="F26" s="7">
        <v>0.99199999999999999</v>
      </c>
      <c r="G26" s="24">
        <v>0</v>
      </c>
      <c r="H26" s="22">
        <v>1</v>
      </c>
      <c r="I26" s="24">
        <v>0</v>
      </c>
      <c r="J26" s="22">
        <v>1</v>
      </c>
      <c r="K26" s="24">
        <v>1</v>
      </c>
      <c r="L26" s="22">
        <v>0</v>
      </c>
      <c r="M26" s="24">
        <v>1</v>
      </c>
      <c r="N26" s="22">
        <v>0</v>
      </c>
      <c r="O26" s="24">
        <v>0</v>
      </c>
      <c r="P26" s="4">
        <v>0.997</v>
      </c>
      <c r="Q26" s="38">
        <v>3.0000000000000001E-3</v>
      </c>
      <c r="R26" s="23" t="s">
        <v>230</v>
      </c>
      <c r="S26" s="29">
        <v>143</v>
      </c>
      <c r="T26">
        <f t="shared" si="0"/>
        <v>1</v>
      </c>
      <c r="U26">
        <f t="shared" si="1"/>
        <v>142</v>
      </c>
      <c r="V26">
        <f t="shared" si="2"/>
        <v>0</v>
      </c>
      <c r="W26">
        <f t="shared" si="3"/>
        <v>143</v>
      </c>
      <c r="X26">
        <f t="shared" si="4"/>
        <v>0</v>
      </c>
      <c r="Y26">
        <f t="shared" si="5"/>
        <v>143</v>
      </c>
      <c r="Z26">
        <f t="shared" si="6"/>
        <v>143</v>
      </c>
      <c r="AA26">
        <f t="shared" si="7"/>
        <v>0</v>
      </c>
      <c r="AB26">
        <f t="shared" si="8"/>
        <v>143</v>
      </c>
      <c r="AC26">
        <f t="shared" si="9"/>
        <v>0</v>
      </c>
      <c r="AD26">
        <f t="shared" si="10"/>
        <v>0</v>
      </c>
      <c r="AE26">
        <f t="shared" si="11"/>
        <v>143</v>
      </c>
      <c r="AF26">
        <f t="shared" si="12"/>
        <v>0</v>
      </c>
      <c r="AG26">
        <f t="shared" si="13"/>
        <v>142</v>
      </c>
    </row>
    <row r="27" spans="2:33" ht="16" customHeight="1" thickBot="1" x14ac:dyDescent="0.25">
      <c r="B27" s="27" t="s">
        <v>232</v>
      </c>
      <c r="C27" s="27">
        <v>1</v>
      </c>
      <c r="D27" s="29">
        <v>103</v>
      </c>
      <c r="E27" s="24" t="s">
        <v>233</v>
      </c>
      <c r="F27" s="7">
        <v>0.69399999999999995</v>
      </c>
      <c r="G27" s="24">
        <v>0</v>
      </c>
      <c r="H27" s="22">
        <v>1</v>
      </c>
      <c r="I27" s="24">
        <v>0</v>
      </c>
      <c r="J27" s="22">
        <v>1</v>
      </c>
      <c r="K27" s="24">
        <v>1</v>
      </c>
      <c r="L27" s="22">
        <v>0</v>
      </c>
      <c r="M27" s="24">
        <v>1</v>
      </c>
      <c r="N27" s="22">
        <v>0</v>
      </c>
      <c r="O27" s="9" t="s">
        <v>234</v>
      </c>
      <c r="P27" s="4">
        <v>0.96699999999999997</v>
      </c>
      <c r="Q27" s="41">
        <v>0</v>
      </c>
      <c r="R27" s="27" t="s">
        <v>232</v>
      </c>
      <c r="S27" s="29">
        <v>103</v>
      </c>
      <c r="T27">
        <f t="shared" si="0"/>
        <v>32</v>
      </c>
      <c r="U27">
        <f t="shared" si="1"/>
        <v>71</v>
      </c>
      <c r="V27">
        <f t="shared" si="2"/>
        <v>0</v>
      </c>
      <c r="W27">
        <f t="shared" si="3"/>
        <v>103</v>
      </c>
      <c r="X27">
        <f t="shared" si="4"/>
        <v>0</v>
      </c>
      <c r="Y27">
        <f t="shared" si="5"/>
        <v>103</v>
      </c>
      <c r="Z27">
        <f t="shared" si="6"/>
        <v>103</v>
      </c>
      <c r="AA27">
        <f t="shared" si="7"/>
        <v>0</v>
      </c>
      <c r="AB27">
        <f t="shared" si="8"/>
        <v>103</v>
      </c>
      <c r="AC27">
        <f t="shared" si="9"/>
        <v>0</v>
      </c>
      <c r="AD27">
        <f t="shared" si="10"/>
        <v>3</v>
      </c>
      <c r="AE27">
        <f t="shared" si="11"/>
        <v>100</v>
      </c>
      <c r="AF27">
        <f t="shared" si="12"/>
        <v>0</v>
      </c>
      <c r="AG27">
        <f t="shared" si="13"/>
        <v>68</v>
      </c>
    </row>
    <row r="28" spans="2:33" x14ac:dyDescent="0.2">
      <c r="B28" s="27" t="s">
        <v>235</v>
      </c>
      <c r="C28" s="27">
        <v>1</v>
      </c>
      <c r="D28" s="26">
        <v>30</v>
      </c>
      <c r="E28" s="24">
        <v>0</v>
      </c>
      <c r="F28" s="22">
        <v>1</v>
      </c>
      <c r="G28" s="24">
        <v>0</v>
      </c>
      <c r="H28" s="22">
        <v>1</v>
      </c>
      <c r="I28" s="8">
        <v>3.3769999999999997E-8</v>
      </c>
      <c r="J28" s="26" t="s">
        <v>188</v>
      </c>
      <c r="K28" s="24">
        <v>1</v>
      </c>
      <c r="L28" s="22">
        <v>0</v>
      </c>
      <c r="M28" s="24">
        <v>1</v>
      </c>
      <c r="N28" s="22">
        <v>0</v>
      </c>
      <c r="O28" s="24">
        <v>0</v>
      </c>
      <c r="P28" s="23">
        <v>1</v>
      </c>
      <c r="Q28" s="41">
        <v>0</v>
      </c>
      <c r="R28" s="27" t="s">
        <v>235</v>
      </c>
      <c r="S28" s="26">
        <v>30</v>
      </c>
      <c r="T28" s="44">
        <f t="shared" si="0"/>
        <v>0</v>
      </c>
      <c r="U28" s="44">
        <f t="shared" si="1"/>
        <v>30</v>
      </c>
      <c r="V28" s="44">
        <f t="shared" si="2"/>
        <v>0</v>
      </c>
      <c r="W28" s="44">
        <f t="shared" si="3"/>
        <v>30</v>
      </c>
      <c r="X28" s="44">
        <f t="shared" si="4"/>
        <v>0</v>
      </c>
      <c r="Y28" s="44">
        <f t="shared" si="5"/>
        <v>30</v>
      </c>
      <c r="Z28" s="44">
        <f t="shared" si="6"/>
        <v>30</v>
      </c>
      <c r="AA28" s="44">
        <f t="shared" si="7"/>
        <v>0</v>
      </c>
      <c r="AB28" s="44">
        <f t="shared" si="8"/>
        <v>30</v>
      </c>
      <c r="AC28" s="44">
        <f t="shared" si="9"/>
        <v>0</v>
      </c>
      <c r="AD28" s="44">
        <f t="shared" si="10"/>
        <v>0</v>
      </c>
      <c r="AE28" s="44">
        <f t="shared" si="11"/>
        <v>30</v>
      </c>
      <c r="AF28" s="44">
        <f t="shared" si="12"/>
        <v>0</v>
      </c>
      <c r="AG28">
        <f t="shared" si="13"/>
        <v>30</v>
      </c>
    </row>
    <row r="29" spans="2:33" ht="17" thickBot="1" x14ac:dyDescent="0.25">
      <c r="B29" s="10" t="s">
        <v>236</v>
      </c>
      <c r="C29" s="10">
        <v>1</v>
      </c>
      <c r="D29" s="12">
        <v>24</v>
      </c>
      <c r="E29" s="13">
        <v>0</v>
      </c>
      <c r="F29" s="14">
        <v>1</v>
      </c>
      <c r="G29" s="13">
        <v>0</v>
      </c>
      <c r="H29" s="14">
        <v>1</v>
      </c>
      <c r="I29" s="13">
        <v>0</v>
      </c>
      <c r="J29" s="14">
        <v>1</v>
      </c>
      <c r="K29" s="13">
        <v>1</v>
      </c>
      <c r="L29" s="14">
        <v>0</v>
      </c>
      <c r="M29" s="13">
        <v>1</v>
      </c>
      <c r="N29" s="14">
        <v>0</v>
      </c>
      <c r="O29" s="13">
        <v>0</v>
      </c>
      <c r="P29" s="13">
        <v>1</v>
      </c>
      <c r="Q29" s="42">
        <v>0</v>
      </c>
      <c r="R29" s="10" t="s">
        <v>236</v>
      </c>
      <c r="S29" s="12">
        <v>24</v>
      </c>
      <c r="T29" s="44">
        <f t="shared" si="0"/>
        <v>0</v>
      </c>
      <c r="U29" s="44">
        <f t="shared" si="1"/>
        <v>24</v>
      </c>
      <c r="V29" s="44">
        <f t="shared" si="2"/>
        <v>0</v>
      </c>
      <c r="W29" s="44">
        <f t="shared" si="3"/>
        <v>24</v>
      </c>
      <c r="X29" s="44">
        <f t="shared" si="4"/>
        <v>0</v>
      </c>
      <c r="Y29" s="44">
        <f t="shared" si="5"/>
        <v>24</v>
      </c>
      <c r="Z29" s="44">
        <f t="shared" si="6"/>
        <v>24</v>
      </c>
      <c r="AA29" s="44">
        <f t="shared" si="7"/>
        <v>0</v>
      </c>
      <c r="AB29" s="44">
        <f t="shared" si="8"/>
        <v>24</v>
      </c>
      <c r="AC29" s="44">
        <f t="shared" si="9"/>
        <v>0</v>
      </c>
      <c r="AD29" s="44">
        <f t="shared" si="10"/>
        <v>0</v>
      </c>
      <c r="AE29" s="44">
        <f t="shared" si="11"/>
        <v>24</v>
      </c>
      <c r="AF29" s="44">
        <f t="shared" si="12"/>
        <v>0</v>
      </c>
      <c r="AG29">
        <f t="shared" si="13"/>
        <v>24</v>
      </c>
    </row>
    <row r="30" spans="2:33" ht="17" thickBot="1" x14ac:dyDescent="0.25">
      <c r="B30" s="13" t="s">
        <v>237</v>
      </c>
      <c r="C30" s="10">
        <v>1</v>
      </c>
      <c r="D30" s="12">
        <v>29</v>
      </c>
      <c r="E30" s="13">
        <v>0</v>
      </c>
      <c r="F30" s="14">
        <v>1</v>
      </c>
      <c r="G30" s="13">
        <v>0</v>
      </c>
      <c r="H30" s="14">
        <v>1</v>
      </c>
      <c r="I30" s="13">
        <v>0</v>
      </c>
      <c r="J30" s="14">
        <v>1</v>
      </c>
      <c r="K30" s="13">
        <v>1</v>
      </c>
      <c r="L30" s="14">
        <v>0</v>
      </c>
      <c r="M30" s="13">
        <v>1</v>
      </c>
      <c r="N30" s="14">
        <v>0</v>
      </c>
      <c r="O30" s="13">
        <v>0</v>
      </c>
      <c r="P30" s="13">
        <v>1</v>
      </c>
      <c r="Q30" s="42">
        <v>0</v>
      </c>
      <c r="R30" s="13" t="s">
        <v>237</v>
      </c>
      <c r="S30" s="12">
        <v>29</v>
      </c>
      <c r="T30" s="44">
        <f t="shared" si="0"/>
        <v>0</v>
      </c>
      <c r="U30" s="44">
        <f t="shared" si="1"/>
        <v>29</v>
      </c>
      <c r="V30" s="44">
        <f t="shared" si="2"/>
        <v>0</v>
      </c>
      <c r="W30" s="44">
        <f t="shared" si="3"/>
        <v>29</v>
      </c>
      <c r="X30" s="44">
        <f t="shared" si="4"/>
        <v>0</v>
      </c>
      <c r="Y30" s="44">
        <f t="shared" si="5"/>
        <v>29</v>
      </c>
      <c r="Z30" s="44">
        <f t="shared" si="6"/>
        <v>29</v>
      </c>
      <c r="AA30" s="44">
        <f t="shared" si="7"/>
        <v>0</v>
      </c>
      <c r="AB30" s="44">
        <f t="shared" si="8"/>
        <v>29</v>
      </c>
      <c r="AC30" s="44">
        <f t="shared" si="9"/>
        <v>0</v>
      </c>
      <c r="AD30" s="44">
        <f t="shared" si="10"/>
        <v>0</v>
      </c>
      <c r="AE30" s="44">
        <f t="shared" si="11"/>
        <v>29</v>
      </c>
      <c r="AF30" s="44">
        <f t="shared" si="12"/>
        <v>0</v>
      </c>
      <c r="AG30">
        <f t="shared" si="13"/>
        <v>29</v>
      </c>
    </row>
    <row r="31" spans="2:33" ht="17" thickBot="1" x14ac:dyDescent="0.25">
      <c r="B31" s="23" t="s">
        <v>238</v>
      </c>
      <c r="C31" s="27">
        <v>1</v>
      </c>
      <c r="D31" s="26">
        <v>27</v>
      </c>
      <c r="E31" s="8">
        <v>3.8759999999999998E-8</v>
      </c>
      <c r="F31" s="26" t="s">
        <v>188</v>
      </c>
      <c r="G31" s="24">
        <v>0</v>
      </c>
      <c r="H31" s="22">
        <v>1</v>
      </c>
      <c r="I31" s="24">
        <v>0</v>
      </c>
      <c r="J31" s="22">
        <v>1</v>
      </c>
      <c r="K31" s="24">
        <v>1</v>
      </c>
      <c r="L31" s="22">
        <v>0</v>
      </c>
      <c r="M31" s="24">
        <v>1</v>
      </c>
      <c r="N31" s="22">
        <v>0</v>
      </c>
      <c r="O31" s="24">
        <v>0</v>
      </c>
      <c r="P31" s="23">
        <v>1</v>
      </c>
      <c r="Q31" s="41">
        <v>0</v>
      </c>
      <c r="R31" s="23" t="s">
        <v>238</v>
      </c>
      <c r="S31" s="26">
        <v>27</v>
      </c>
      <c r="T31" s="44">
        <f t="shared" si="0"/>
        <v>0</v>
      </c>
      <c r="U31" s="44">
        <f t="shared" si="1"/>
        <v>27</v>
      </c>
      <c r="V31" s="44">
        <f t="shared" si="2"/>
        <v>0</v>
      </c>
      <c r="W31" s="44">
        <f t="shared" si="3"/>
        <v>27</v>
      </c>
      <c r="X31" s="44">
        <f t="shared" si="4"/>
        <v>0</v>
      </c>
      <c r="Y31" s="44">
        <f t="shared" si="5"/>
        <v>27</v>
      </c>
      <c r="Z31" s="44">
        <f t="shared" si="6"/>
        <v>27</v>
      </c>
      <c r="AA31" s="44">
        <f t="shared" si="7"/>
        <v>0</v>
      </c>
      <c r="AB31" s="44">
        <f t="shared" si="8"/>
        <v>27</v>
      </c>
      <c r="AC31" s="44">
        <f t="shared" si="9"/>
        <v>0</v>
      </c>
      <c r="AD31" s="44">
        <f t="shared" si="10"/>
        <v>0</v>
      </c>
      <c r="AE31" s="44">
        <f t="shared" si="11"/>
        <v>27</v>
      </c>
      <c r="AF31" s="44">
        <f t="shared" si="12"/>
        <v>0</v>
      </c>
      <c r="AG31">
        <f t="shared" si="13"/>
        <v>27</v>
      </c>
    </row>
    <row r="32" spans="2:33" ht="17" thickBot="1" x14ac:dyDescent="0.25">
      <c r="B32" s="23" t="s">
        <v>239</v>
      </c>
      <c r="C32" s="27">
        <v>1</v>
      </c>
      <c r="D32" s="26">
        <v>26</v>
      </c>
      <c r="E32" s="24">
        <v>0</v>
      </c>
      <c r="F32" s="22">
        <v>1</v>
      </c>
      <c r="G32" s="24">
        <v>0</v>
      </c>
      <c r="H32" s="22">
        <v>1</v>
      </c>
      <c r="I32" s="24">
        <v>0</v>
      </c>
      <c r="J32" s="22">
        <v>1</v>
      </c>
      <c r="K32" s="25" t="s">
        <v>188</v>
      </c>
      <c r="L32" s="15">
        <v>1.7220000000000001E-8</v>
      </c>
      <c r="M32" s="24">
        <v>1</v>
      </c>
      <c r="N32" s="22">
        <v>0</v>
      </c>
      <c r="O32" s="24">
        <v>0</v>
      </c>
      <c r="P32" s="23">
        <v>1</v>
      </c>
      <c r="Q32" s="41">
        <v>0</v>
      </c>
      <c r="R32" s="23" t="s">
        <v>239</v>
      </c>
      <c r="S32" s="26">
        <v>26</v>
      </c>
      <c r="T32" s="44">
        <f t="shared" si="0"/>
        <v>0</v>
      </c>
      <c r="U32" s="44">
        <f t="shared" si="1"/>
        <v>26</v>
      </c>
      <c r="V32" s="44">
        <f t="shared" si="2"/>
        <v>0</v>
      </c>
      <c r="W32" s="44">
        <f t="shared" si="3"/>
        <v>26</v>
      </c>
      <c r="X32" s="44">
        <f t="shared" si="4"/>
        <v>0</v>
      </c>
      <c r="Y32" s="44">
        <f t="shared" si="5"/>
        <v>26</v>
      </c>
      <c r="Z32" s="44">
        <f t="shared" si="6"/>
        <v>26</v>
      </c>
      <c r="AA32" s="44">
        <f t="shared" si="7"/>
        <v>0</v>
      </c>
      <c r="AB32" s="44">
        <f t="shared" si="8"/>
        <v>26</v>
      </c>
      <c r="AC32" s="44">
        <f t="shared" si="9"/>
        <v>0</v>
      </c>
      <c r="AD32" s="44">
        <f t="shared" si="10"/>
        <v>0</v>
      </c>
      <c r="AE32" s="44">
        <f t="shared" si="11"/>
        <v>26</v>
      </c>
      <c r="AF32" s="44">
        <f t="shared" si="12"/>
        <v>0</v>
      </c>
      <c r="AG32">
        <f t="shared" si="13"/>
        <v>26</v>
      </c>
    </row>
    <row r="33" spans="2:33" x14ac:dyDescent="0.2">
      <c r="B33" s="23" t="s">
        <v>240</v>
      </c>
      <c r="C33" s="27">
        <v>1</v>
      </c>
      <c r="D33" s="26">
        <v>73</v>
      </c>
      <c r="E33" s="24">
        <v>0</v>
      </c>
      <c r="F33" s="22">
        <v>1</v>
      </c>
      <c r="G33" s="24">
        <v>0</v>
      </c>
      <c r="H33" s="22">
        <v>1</v>
      </c>
      <c r="I33" s="24">
        <v>0</v>
      </c>
      <c r="J33" s="22">
        <v>1</v>
      </c>
      <c r="K33" s="25" t="s">
        <v>188</v>
      </c>
      <c r="L33" s="15">
        <v>4.3569999999999999E-8</v>
      </c>
      <c r="M33" s="24">
        <v>1</v>
      </c>
      <c r="N33" s="22">
        <v>0</v>
      </c>
      <c r="O33" s="24">
        <v>0</v>
      </c>
      <c r="P33" s="23">
        <v>1</v>
      </c>
      <c r="Q33" s="41">
        <v>0</v>
      </c>
      <c r="R33" s="23" t="s">
        <v>240</v>
      </c>
      <c r="S33" s="26">
        <v>73</v>
      </c>
      <c r="T33" s="44">
        <f>ROUND(_xlfn.TEXTBEFORE(E33, "(", ,,, E33) * D33, 0)</f>
        <v>0</v>
      </c>
      <c r="U33" s="44">
        <f>ROUND(_xlfn.TEXTBEFORE(F33, "(", ,,, F33) * D33, 0)</f>
        <v>73</v>
      </c>
      <c r="V33" s="44">
        <f>ROUND(_xlfn.TEXTBEFORE(G33, "(", ,,, G33) * D33, 0)</f>
        <v>0</v>
      </c>
      <c r="W33" s="44">
        <f>ROUND(_xlfn.TEXTBEFORE(H33, "(", ,,, H33) * D33, 0)</f>
        <v>73</v>
      </c>
      <c r="X33" s="44">
        <f>ROUND(_xlfn.TEXTBEFORE(I33, "(", ,,, I33) * D33, 0)</f>
        <v>0</v>
      </c>
      <c r="Y33" s="44">
        <f>ROUND(_xlfn.TEXTBEFORE(J33, "(", ,,, J33) * D33, 0)</f>
        <v>73</v>
      </c>
      <c r="Z33" s="44">
        <f>ROUND(_xlfn.TEXTBEFORE(K33, "(", ,,, K33) * D33, 0)</f>
        <v>73</v>
      </c>
      <c r="AA33" s="44">
        <f>ROUND(_xlfn.TEXTBEFORE(L33, "(", ,,, L33) * D33, 0)</f>
        <v>0</v>
      </c>
      <c r="AB33" s="44">
        <f>ROUND(_xlfn.TEXTBEFORE(M33, "(", ,,, M33) * D33, 0)</f>
        <v>73</v>
      </c>
      <c r="AC33" s="44">
        <f>ROUND(_xlfn.TEXTBEFORE(N33, "(", ,,, N33) * D33, 0)</f>
        <v>0</v>
      </c>
      <c r="AD33" s="44">
        <f>ROUND(_xlfn.TEXTBEFORE(O33, "(", ,,, O33) * D33, 0)</f>
        <v>0</v>
      </c>
      <c r="AE33" s="44">
        <f>ROUND(_xlfn.TEXTBEFORE(P33, "(", ,,, P33) * D33, 0)</f>
        <v>73</v>
      </c>
      <c r="AF33" s="44">
        <f>ROUND(_xlfn.TEXTBEFORE(Q33, "(", ,,, Q33) * D33, 0)</f>
        <v>0</v>
      </c>
      <c r="AG33">
        <f t="shared" si="13"/>
        <v>73</v>
      </c>
    </row>
    <row r="34" spans="2:33" ht="17" thickBot="1" x14ac:dyDescent="0.25">
      <c r="B34" s="10" t="s">
        <v>241</v>
      </c>
      <c r="C34" s="10">
        <v>1</v>
      </c>
      <c r="D34" s="12">
        <v>75</v>
      </c>
      <c r="E34" s="13">
        <v>0</v>
      </c>
      <c r="F34" s="14">
        <v>1</v>
      </c>
      <c r="G34" s="13">
        <v>0</v>
      </c>
      <c r="H34" s="14">
        <v>1</v>
      </c>
      <c r="I34" s="13">
        <v>0</v>
      </c>
      <c r="J34" s="14">
        <v>1</v>
      </c>
      <c r="K34" s="13">
        <v>1</v>
      </c>
      <c r="L34" s="14">
        <v>0</v>
      </c>
      <c r="M34" s="13">
        <v>1</v>
      </c>
      <c r="N34" s="14">
        <v>0</v>
      </c>
      <c r="O34" s="13">
        <v>0</v>
      </c>
      <c r="P34" s="13">
        <v>1</v>
      </c>
      <c r="Q34" s="42">
        <v>0</v>
      </c>
      <c r="R34" s="10" t="s">
        <v>241</v>
      </c>
      <c r="S34" s="12">
        <v>75</v>
      </c>
      <c r="T34" s="44">
        <f t="shared" ref="T34:T59" si="14">ROUND(_xlfn.TEXTBEFORE(E34, "(", ,,, E34) * D34, 0)</f>
        <v>0</v>
      </c>
      <c r="U34" s="44">
        <f t="shared" ref="U34:U59" si="15">ROUND(_xlfn.TEXTBEFORE(F34, "(", ,,, F34) * D34, 0)</f>
        <v>75</v>
      </c>
      <c r="V34" s="44">
        <f t="shared" ref="V34:V59" si="16">ROUND(_xlfn.TEXTBEFORE(G34, "(", ,,, G34) * D34, 0)</f>
        <v>0</v>
      </c>
      <c r="W34" s="44">
        <f t="shared" ref="W34:W59" si="17">ROUND(_xlfn.TEXTBEFORE(H34, "(", ,,, H34) * D34, 0)</f>
        <v>75</v>
      </c>
      <c r="X34" s="44">
        <f t="shared" ref="X34:X59" si="18">ROUND(_xlfn.TEXTBEFORE(I34, "(", ,,, I34) * D34, 0)</f>
        <v>0</v>
      </c>
      <c r="Y34" s="44">
        <f t="shared" ref="Y34:Y59" si="19">ROUND(_xlfn.TEXTBEFORE(J34, "(", ,,, J34) * D34, 0)</f>
        <v>75</v>
      </c>
      <c r="Z34" s="44">
        <f t="shared" ref="Z34:Z59" si="20">ROUND(_xlfn.TEXTBEFORE(K34, "(", ,,, K34) * D34, 0)</f>
        <v>75</v>
      </c>
      <c r="AA34" s="44">
        <f t="shared" ref="AA34:AA59" si="21">ROUND(_xlfn.TEXTBEFORE(L34, "(", ,,, L34) * D34, 0)</f>
        <v>0</v>
      </c>
      <c r="AB34" s="44">
        <f t="shared" ref="AB34:AB59" si="22">ROUND(_xlfn.TEXTBEFORE(M34, "(", ,,, M34) * D34, 0)</f>
        <v>75</v>
      </c>
      <c r="AC34" s="44">
        <f t="shared" ref="AC34:AC59" si="23">ROUND(_xlfn.TEXTBEFORE(N34, "(", ,,, N34) * D34, 0)</f>
        <v>0</v>
      </c>
      <c r="AD34" s="44">
        <f t="shared" ref="AD34:AD59" si="24">ROUND(_xlfn.TEXTBEFORE(O34, "(", ,,, O34) * D34, 0)</f>
        <v>0</v>
      </c>
      <c r="AE34" s="44">
        <f t="shared" ref="AE34:AE59" si="25">ROUND(_xlfn.TEXTBEFORE(P34, "(", ,,, P34) * D34, 0)</f>
        <v>75</v>
      </c>
      <c r="AF34" s="44">
        <f t="shared" ref="AF34:AF59" si="26">ROUND(_xlfn.TEXTBEFORE(Q34, "(", ,,, Q34) * D34, 0)</f>
        <v>0</v>
      </c>
      <c r="AG34">
        <f t="shared" si="13"/>
        <v>75</v>
      </c>
    </row>
    <row r="35" spans="2:33" ht="17" thickBot="1" x14ac:dyDescent="0.25">
      <c r="B35" s="19" t="s">
        <v>242</v>
      </c>
      <c r="C35" s="10">
        <v>1</v>
      </c>
      <c r="D35" s="12">
        <v>26</v>
      </c>
      <c r="E35" s="13">
        <v>0</v>
      </c>
      <c r="F35" s="14">
        <v>1</v>
      </c>
      <c r="G35" s="13">
        <v>0</v>
      </c>
      <c r="H35" s="14">
        <v>1</v>
      </c>
      <c r="I35" s="13">
        <v>0</v>
      </c>
      <c r="J35" s="14">
        <v>1</v>
      </c>
      <c r="K35" s="13">
        <v>1</v>
      </c>
      <c r="L35" s="14">
        <v>0</v>
      </c>
      <c r="M35" s="13">
        <v>1</v>
      </c>
      <c r="N35" s="14">
        <v>0</v>
      </c>
      <c r="O35" s="13">
        <v>0</v>
      </c>
      <c r="P35" s="13">
        <v>1</v>
      </c>
      <c r="Q35" s="42">
        <v>0</v>
      </c>
      <c r="R35" s="19" t="s">
        <v>242</v>
      </c>
      <c r="S35" s="12">
        <v>26</v>
      </c>
      <c r="T35" s="44">
        <f t="shared" si="14"/>
        <v>0</v>
      </c>
      <c r="U35" s="44">
        <f t="shared" si="15"/>
        <v>26</v>
      </c>
      <c r="V35" s="44">
        <f t="shared" si="16"/>
        <v>0</v>
      </c>
      <c r="W35" s="44">
        <f t="shared" si="17"/>
        <v>26</v>
      </c>
      <c r="X35" s="44">
        <f t="shared" si="18"/>
        <v>0</v>
      </c>
      <c r="Y35" s="44">
        <f t="shared" si="19"/>
        <v>26</v>
      </c>
      <c r="Z35" s="44">
        <f t="shared" si="20"/>
        <v>26</v>
      </c>
      <c r="AA35" s="44">
        <f t="shared" si="21"/>
        <v>0</v>
      </c>
      <c r="AB35" s="44">
        <f t="shared" si="22"/>
        <v>26</v>
      </c>
      <c r="AC35" s="44">
        <f t="shared" si="23"/>
        <v>0</v>
      </c>
      <c r="AD35" s="44">
        <f t="shared" si="24"/>
        <v>0</v>
      </c>
      <c r="AE35" s="44">
        <f t="shared" si="25"/>
        <v>26</v>
      </c>
      <c r="AF35" s="44">
        <f t="shared" si="26"/>
        <v>0</v>
      </c>
      <c r="AG35">
        <f t="shared" si="13"/>
        <v>26</v>
      </c>
    </row>
    <row r="36" spans="2:33" x14ac:dyDescent="0.2">
      <c r="B36" s="23" t="s">
        <v>243</v>
      </c>
      <c r="C36" s="27">
        <v>1</v>
      </c>
      <c r="D36" s="26">
        <v>30</v>
      </c>
      <c r="E36" s="24">
        <v>0</v>
      </c>
      <c r="F36" s="22">
        <v>1</v>
      </c>
      <c r="G36" s="24">
        <v>0</v>
      </c>
      <c r="H36" s="22">
        <v>1</v>
      </c>
      <c r="I36" s="24">
        <v>0</v>
      </c>
      <c r="J36" s="22">
        <v>1</v>
      </c>
      <c r="K36" s="5">
        <v>0.99299999999999999</v>
      </c>
      <c r="L36" s="7" t="s">
        <v>244</v>
      </c>
      <c r="M36" s="24">
        <v>1</v>
      </c>
      <c r="N36" s="22">
        <v>0</v>
      </c>
      <c r="O36" s="24">
        <v>0</v>
      </c>
      <c r="P36" s="23">
        <v>1</v>
      </c>
      <c r="Q36" s="41">
        <v>0</v>
      </c>
      <c r="R36" s="23" t="s">
        <v>243</v>
      </c>
      <c r="S36" s="26">
        <v>30</v>
      </c>
      <c r="T36" s="44">
        <f t="shared" si="14"/>
        <v>0</v>
      </c>
      <c r="U36" s="44">
        <f t="shared" si="15"/>
        <v>30</v>
      </c>
      <c r="V36" s="44">
        <f t="shared" si="16"/>
        <v>0</v>
      </c>
      <c r="W36" s="44">
        <f t="shared" si="17"/>
        <v>30</v>
      </c>
      <c r="X36" s="44">
        <f t="shared" si="18"/>
        <v>0</v>
      </c>
      <c r="Y36" s="44">
        <f t="shared" si="19"/>
        <v>30</v>
      </c>
      <c r="Z36" s="44">
        <f t="shared" si="20"/>
        <v>30</v>
      </c>
      <c r="AA36" s="44">
        <f t="shared" si="21"/>
        <v>0</v>
      </c>
      <c r="AB36" s="44">
        <f t="shared" si="22"/>
        <v>30</v>
      </c>
      <c r="AC36" s="44">
        <f t="shared" si="23"/>
        <v>0</v>
      </c>
      <c r="AD36" s="44">
        <f t="shared" si="24"/>
        <v>0</v>
      </c>
      <c r="AE36" s="44">
        <f t="shared" si="25"/>
        <v>30</v>
      </c>
      <c r="AF36" s="44">
        <f t="shared" si="26"/>
        <v>0</v>
      </c>
      <c r="AG36">
        <f t="shared" si="13"/>
        <v>30</v>
      </c>
    </row>
    <row r="37" spans="2:33" ht="17" thickBot="1" x14ac:dyDescent="0.25">
      <c r="B37" s="13" t="s">
        <v>245</v>
      </c>
      <c r="C37" s="10">
        <v>1</v>
      </c>
      <c r="D37" s="12">
        <v>46</v>
      </c>
      <c r="E37" s="13">
        <v>0</v>
      </c>
      <c r="F37" s="14">
        <v>1</v>
      </c>
      <c r="G37" s="13">
        <v>0</v>
      </c>
      <c r="H37" s="14">
        <v>1</v>
      </c>
      <c r="I37" s="13">
        <v>0</v>
      </c>
      <c r="J37" s="14">
        <v>1</v>
      </c>
      <c r="K37" s="13">
        <v>1</v>
      </c>
      <c r="L37" s="14">
        <v>0</v>
      </c>
      <c r="M37" s="13">
        <v>1</v>
      </c>
      <c r="N37" s="14">
        <v>0</v>
      </c>
      <c r="O37" s="13">
        <v>0</v>
      </c>
      <c r="P37" s="13">
        <v>1</v>
      </c>
      <c r="Q37" s="42">
        <v>0</v>
      </c>
      <c r="R37" s="13" t="s">
        <v>245</v>
      </c>
      <c r="S37" s="12">
        <v>46</v>
      </c>
      <c r="T37" s="44">
        <f t="shared" si="14"/>
        <v>0</v>
      </c>
      <c r="U37" s="44">
        <f t="shared" si="15"/>
        <v>46</v>
      </c>
      <c r="V37" s="44">
        <f t="shared" si="16"/>
        <v>0</v>
      </c>
      <c r="W37" s="44">
        <f t="shared" si="17"/>
        <v>46</v>
      </c>
      <c r="X37" s="44">
        <f t="shared" si="18"/>
        <v>0</v>
      </c>
      <c r="Y37" s="44">
        <f t="shared" si="19"/>
        <v>46</v>
      </c>
      <c r="Z37" s="44">
        <f t="shared" si="20"/>
        <v>46</v>
      </c>
      <c r="AA37" s="44">
        <f t="shared" si="21"/>
        <v>0</v>
      </c>
      <c r="AB37" s="44">
        <f t="shared" si="22"/>
        <v>46</v>
      </c>
      <c r="AC37" s="44">
        <f t="shared" si="23"/>
        <v>0</v>
      </c>
      <c r="AD37" s="44">
        <f t="shared" si="24"/>
        <v>0</v>
      </c>
      <c r="AE37" s="44">
        <f t="shared" si="25"/>
        <v>46</v>
      </c>
      <c r="AF37" s="44">
        <f t="shared" si="26"/>
        <v>0</v>
      </c>
      <c r="AG37">
        <f t="shared" si="13"/>
        <v>46</v>
      </c>
    </row>
    <row r="38" spans="2:33" ht="17" thickBot="1" x14ac:dyDescent="0.25">
      <c r="B38" s="23" t="s">
        <v>246</v>
      </c>
      <c r="C38" s="27">
        <v>1</v>
      </c>
      <c r="D38" s="26">
        <v>65</v>
      </c>
      <c r="E38" s="24">
        <v>0</v>
      </c>
      <c r="F38" s="22">
        <v>1</v>
      </c>
      <c r="G38" s="24">
        <v>0</v>
      </c>
      <c r="H38" s="22">
        <v>1</v>
      </c>
      <c r="I38" s="24">
        <v>0</v>
      </c>
      <c r="J38" s="22">
        <v>1</v>
      </c>
      <c r="K38" s="5">
        <v>0.997</v>
      </c>
      <c r="L38" s="7" t="s">
        <v>247</v>
      </c>
      <c r="M38" s="24">
        <v>1</v>
      </c>
      <c r="N38" s="22">
        <v>0</v>
      </c>
      <c r="O38" s="24">
        <v>0</v>
      </c>
      <c r="P38" s="23">
        <v>1</v>
      </c>
      <c r="Q38" s="41">
        <v>0</v>
      </c>
      <c r="R38" s="23" t="s">
        <v>246</v>
      </c>
      <c r="S38" s="26">
        <v>65</v>
      </c>
      <c r="T38" s="44">
        <f t="shared" si="14"/>
        <v>0</v>
      </c>
      <c r="U38" s="44">
        <f t="shared" si="15"/>
        <v>65</v>
      </c>
      <c r="V38" s="44">
        <f t="shared" si="16"/>
        <v>0</v>
      </c>
      <c r="W38" s="44">
        <f t="shared" si="17"/>
        <v>65</v>
      </c>
      <c r="X38" s="44">
        <f t="shared" si="18"/>
        <v>0</v>
      </c>
      <c r="Y38" s="44">
        <f t="shared" si="19"/>
        <v>65</v>
      </c>
      <c r="Z38" s="44">
        <f t="shared" si="20"/>
        <v>65</v>
      </c>
      <c r="AA38" s="44">
        <f t="shared" si="21"/>
        <v>0</v>
      </c>
      <c r="AB38" s="44">
        <f t="shared" si="22"/>
        <v>65</v>
      </c>
      <c r="AC38" s="44">
        <f t="shared" si="23"/>
        <v>0</v>
      </c>
      <c r="AD38" s="44">
        <f t="shared" si="24"/>
        <v>0</v>
      </c>
      <c r="AE38" s="44">
        <f t="shared" si="25"/>
        <v>65</v>
      </c>
      <c r="AF38" s="44">
        <f t="shared" si="26"/>
        <v>0</v>
      </c>
      <c r="AG38">
        <f t="shared" si="13"/>
        <v>65</v>
      </c>
    </row>
    <row r="39" spans="2:33" ht="23" customHeight="1" thickBot="1" x14ac:dyDescent="0.25">
      <c r="B39" s="23" t="s">
        <v>248</v>
      </c>
      <c r="C39" s="27">
        <v>1</v>
      </c>
      <c r="D39" s="26">
        <v>37</v>
      </c>
      <c r="E39" s="24">
        <v>0</v>
      </c>
      <c r="F39" s="22">
        <v>1</v>
      </c>
      <c r="G39" s="24">
        <v>0</v>
      </c>
      <c r="H39" s="22">
        <v>1</v>
      </c>
      <c r="I39" s="24">
        <v>0</v>
      </c>
      <c r="J39" s="22">
        <v>1</v>
      </c>
      <c r="K39" s="25" t="s">
        <v>188</v>
      </c>
      <c r="L39" s="15">
        <v>5.191E-8</v>
      </c>
      <c r="M39" s="24">
        <v>1</v>
      </c>
      <c r="N39" s="22">
        <v>0</v>
      </c>
      <c r="O39" s="24">
        <v>0</v>
      </c>
      <c r="P39" s="23">
        <v>1</v>
      </c>
      <c r="Q39" s="41">
        <v>0</v>
      </c>
      <c r="R39" s="23" t="s">
        <v>248</v>
      </c>
      <c r="S39" s="26">
        <v>37</v>
      </c>
      <c r="T39" s="44">
        <f t="shared" si="14"/>
        <v>0</v>
      </c>
      <c r="U39" s="44">
        <f t="shared" si="15"/>
        <v>37</v>
      </c>
      <c r="V39" s="44">
        <f t="shared" si="16"/>
        <v>0</v>
      </c>
      <c r="W39" s="44">
        <f t="shared" si="17"/>
        <v>37</v>
      </c>
      <c r="X39" s="44">
        <f t="shared" si="18"/>
        <v>0</v>
      </c>
      <c r="Y39" s="44">
        <f t="shared" si="19"/>
        <v>37</v>
      </c>
      <c r="Z39" s="44">
        <f t="shared" si="20"/>
        <v>37</v>
      </c>
      <c r="AA39" s="44">
        <f t="shared" si="21"/>
        <v>0</v>
      </c>
      <c r="AB39" s="44">
        <f t="shared" si="22"/>
        <v>37</v>
      </c>
      <c r="AC39" s="44">
        <f t="shared" si="23"/>
        <v>0</v>
      </c>
      <c r="AD39" s="44">
        <f t="shared" si="24"/>
        <v>0</v>
      </c>
      <c r="AE39" s="44">
        <f t="shared" si="25"/>
        <v>37</v>
      </c>
      <c r="AF39" s="44">
        <f t="shared" si="26"/>
        <v>0</v>
      </c>
      <c r="AG39">
        <f t="shared" si="13"/>
        <v>37</v>
      </c>
    </row>
    <row r="40" spans="2:33" ht="17" thickBot="1" x14ac:dyDescent="0.25">
      <c r="B40" s="27" t="s">
        <v>249</v>
      </c>
      <c r="C40" s="27">
        <v>1</v>
      </c>
      <c r="D40" s="26">
        <v>29</v>
      </c>
      <c r="E40" s="24">
        <v>0</v>
      </c>
      <c r="F40" s="22">
        <v>1</v>
      </c>
      <c r="G40" s="24">
        <v>0</v>
      </c>
      <c r="H40" s="22">
        <v>1</v>
      </c>
      <c r="I40" s="24">
        <v>0</v>
      </c>
      <c r="J40" s="22">
        <v>1</v>
      </c>
      <c r="K40" s="4">
        <v>1</v>
      </c>
      <c r="L40" s="15">
        <v>4.702E-8</v>
      </c>
      <c r="M40" s="24">
        <v>1</v>
      </c>
      <c r="N40" s="22">
        <v>0</v>
      </c>
      <c r="O40" s="24">
        <v>0</v>
      </c>
      <c r="P40" s="23">
        <v>1</v>
      </c>
      <c r="Q40" s="41">
        <v>0</v>
      </c>
      <c r="R40" s="27" t="s">
        <v>249</v>
      </c>
      <c r="S40" s="26">
        <v>29</v>
      </c>
      <c r="T40" s="44">
        <f t="shared" si="14"/>
        <v>0</v>
      </c>
      <c r="U40" s="44">
        <f t="shared" si="15"/>
        <v>29</v>
      </c>
      <c r="V40" s="44">
        <f t="shared" si="16"/>
        <v>0</v>
      </c>
      <c r="W40" s="44">
        <f t="shared" si="17"/>
        <v>29</v>
      </c>
      <c r="X40" s="44">
        <f t="shared" si="18"/>
        <v>0</v>
      </c>
      <c r="Y40" s="44">
        <f t="shared" si="19"/>
        <v>29</v>
      </c>
      <c r="Z40" s="44">
        <f t="shared" si="20"/>
        <v>29</v>
      </c>
      <c r="AA40" s="44">
        <f t="shared" si="21"/>
        <v>0</v>
      </c>
      <c r="AB40" s="44">
        <f t="shared" si="22"/>
        <v>29</v>
      </c>
      <c r="AC40" s="44">
        <f t="shared" si="23"/>
        <v>0</v>
      </c>
      <c r="AD40" s="44">
        <f t="shared" si="24"/>
        <v>0</v>
      </c>
      <c r="AE40" s="44">
        <f t="shared" si="25"/>
        <v>29</v>
      </c>
      <c r="AF40" s="44">
        <f t="shared" si="26"/>
        <v>0</v>
      </c>
      <c r="AG40">
        <f t="shared" si="13"/>
        <v>29</v>
      </c>
    </row>
    <row r="41" spans="2:33" x14ac:dyDescent="0.2">
      <c r="B41" s="27" t="s">
        <v>250</v>
      </c>
      <c r="C41" s="27">
        <v>1</v>
      </c>
      <c r="D41" s="26">
        <v>17</v>
      </c>
      <c r="E41" s="24">
        <v>0</v>
      </c>
      <c r="F41" s="22">
        <v>1</v>
      </c>
      <c r="G41" s="24">
        <v>0</v>
      </c>
      <c r="H41" s="22">
        <v>1</v>
      </c>
      <c r="I41" s="24">
        <v>0</v>
      </c>
      <c r="J41" s="22">
        <v>1</v>
      </c>
      <c r="K41" s="25" t="s">
        <v>188</v>
      </c>
      <c r="L41" s="15">
        <v>3.229E-8</v>
      </c>
      <c r="M41" s="24">
        <v>1</v>
      </c>
      <c r="N41" s="22">
        <v>0</v>
      </c>
      <c r="O41" s="24">
        <v>0</v>
      </c>
      <c r="P41" s="23">
        <v>1</v>
      </c>
      <c r="Q41" s="41">
        <v>0</v>
      </c>
      <c r="R41" s="27" t="s">
        <v>250</v>
      </c>
      <c r="S41" s="26">
        <v>17</v>
      </c>
      <c r="T41" s="44">
        <f t="shared" si="14"/>
        <v>0</v>
      </c>
      <c r="U41" s="44">
        <f t="shared" si="15"/>
        <v>17</v>
      </c>
      <c r="V41" s="44">
        <f t="shared" si="16"/>
        <v>0</v>
      </c>
      <c r="W41" s="44">
        <f t="shared" si="17"/>
        <v>17</v>
      </c>
      <c r="X41" s="44">
        <f t="shared" si="18"/>
        <v>0</v>
      </c>
      <c r="Y41" s="44">
        <f t="shared" si="19"/>
        <v>17</v>
      </c>
      <c r="Z41" s="44">
        <f t="shared" si="20"/>
        <v>17</v>
      </c>
      <c r="AA41" s="44">
        <f t="shared" si="21"/>
        <v>0</v>
      </c>
      <c r="AB41" s="44">
        <f t="shared" si="22"/>
        <v>17</v>
      </c>
      <c r="AC41" s="44">
        <f t="shared" si="23"/>
        <v>0</v>
      </c>
      <c r="AD41" s="44">
        <f t="shared" si="24"/>
        <v>0</v>
      </c>
      <c r="AE41" s="44">
        <f t="shared" si="25"/>
        <v>17</v>
      </c>
      <c r="AF41" s="44">
        <f t="shared" si="26"/>
        <v>0</v>
      </c>
      <c r="AG41">
        <f t="shared" si="13"/>
        <v>17</v>
      </c>
    </row>
    <row r="42" spans="2:33" ht="17" thickBot="1" x14ac:dyDescent="0.25">
      <c r="B42" s="13" t="s">
        <v>251</v>
      </c>
      <c r="C42" s="10">
        <v>1</v>
      </c>
      <c r="D42" s="12">
        <v>25</v>
      </c>
      <c r="E42" s="13">
        <v>0</v>
      </c>
      <c r="F42" s="14">
        <v>1</v>
      </c>
      <c r="G42" s="13">
        <v>0</v>
      </c>
      <c r="H42" s="14">
        <v>1</v>
      </c>
      <c r="I42" s="13">
        <v>0</v>
      </c>
      <c r="J42" s="14">
        <v>1</v>
      </c>
      <c r="K42" s="13">
        <v>1</v>
      </c>
      <c r="L42" s="14">
        <v>0</v>
      </c>
      <c r="M42" s="13">
        <v>1</v>
      </c>
      <c r="N42" s="14">
        <v>0</v>
      </c>
      <c r="O42" s="13">
        <v>0</v>
      </c>
      <c r="P42" s="13">
        <v>1</v>
      </c>
      <c r="Q42" s="42">
        <v>0</v>
      </c>
      <c r="R42" s="13" t="s">
        <v>251</v>
      </c>
      <c r="S42" s="12">
        <v>25</v>
      </c>
      <c r="T42" s="44">
        <f t="shared" si="14"/>
        <v>0</v>
      </c>
      <c r="U42" s="44">
        <f t="shared" si="15"/>
        <v>25</v>
      </c>
      <c r="V42" s="44">
        <f t="shared" si="16"/>
        <v>0</v>
      </c>
      <c r="W42" s="44">
        <f t="shared" si="17"/>
        <v>25</v>
      </c>
      <c r="X42" s="44">
        <f t="shared" si="18"/>
        <v>0</v>
      </c>
      <c r="Y42" s="44">
        <f t="shared" si="19"/>
        <v>25</v>
      </c>
      <c r="Z42" s="44">
        <f t="shared" si="20"/>
        <v>25</v>
      </c>
      <c r="AA42" s="44">
        <f t="shared" si="21"/>
        <v>0</v>
      </c>
      <c r="AB42" s="44">
        <f t="shared" si="22"/>
        <v>25</v>
      </c>
      <c r="AC42" s="44">
        <f t="shared" si="23"/>
        <v>0</v>
      </c>
      <c r="AD42" s="44">
        <f t="shared" si="24"/>
        <v>0</v>
      </c>
      <c r="AE42" s="44">
        <f t="shared" si="25"/>
        <v>25</v>
      </c>
      <c r="AF42" s="44">
        <f t="shared" si="26"/>
        <v>0</v>
      </c>
      <c r="AG42">
        <f t="shared" si="13"/>
        <v>25</v>
      </c>
    </row>
    <row r="43" spans="2:33" x14ac:dyDescent="0.2">
      <c r="B43" s="23" t="s">
        <v>252</v>
      </c>
      <c r="C43" s="27">
        <v>1</v>
      </c>
      <c r="D43" s="26">
        <v>27</v>
      </c>
      <c r="E43" s="24">
        <v>0</v>
      </c>
      <c r="F43" s="22">
        <v>1</v>
      </c>
      <c r="G43" s="24">
        <v>0</v>
      </c>
      <c r="H43" s="22">
        <v>1</v>
      </c>
      <c r="I43" s="24">
        <v>0</v>
      </c>
      <c r="J43" s="22">
        <v>1</v>
      </c>
      <c r="K43" s="25" t="s">
        <v>188</v>
      </c>
      <c r="L43" s="15">
        <v>5.627E-8</v>
      </c>
      <c r="M43" s="24">
        <v>1</v>
      </c>
      <c r="N43" s="22">
        <v>0</v>
      </c>
      <c r="O43" s="24">
        <v>0</v>
      </c>
      <c r="P43" s="23">
        <v>1</v>
      </c>
      <c r="Q43" s="41">
        <v>0</v>
      </c>
      <c r="R43" s="23" t="s">
        <v>252</v>
      </c>
      <c r="S43" s="26">
        <v>27</v>
      </c>
      <c r="T43" s="44">
        <f t="shared" si="14"/>
        <v>0</v>
      </c>
      <c r="U43" s="44">
        <f t="shared" si="15"/>
        <v>27</v>
      </c>
      <c r="V43" s="44">
        <f t="shared" si="16"/>
        <v>0</v>
      </c>
      <c r="W43" s="44">
        <f t="shared" si="17"/>
        <v>27</v>
      </c>
      <c r="X43" s="44">
        <f t="shared" si="18"/>
        <v>0</v>
      </c>
      <c r="Y43" s="44">
        <f t="shared" si="19"/>
        <v>27</v>
      </c>
      <c r="Z43" s="44">
        <f t="shared" si="20"/>
        <v>27</v>
      </c>
      <c r="AA43" s="44">
        <f t="shared" si="21"/>
        <v>0</v>
      </c>
      <c r="AB43" s="44">
        <f t="shared" si="22"/>
        <v>27</v>
      </c>
      <c r="AC43" s="44">
        <f t="shared" si="23"/>
        <v>0</v>
      </c>
      <c r="AD43" s="44">
        <f t="shared" si="24"/>
        <v>0</v>
      </c>
      <c r="AE43" s="44">
        <f t="shared" si="25"/>
        <v>27</v>
      </c>
      <c r="AF43" s="44">
        <f t="shared" si="26"/>
        <v>0</v>
      </c>
      <c r="AG43">
        <f t="shared" si="13"/>
        <v>27</v>
      </c>
    </row>
    <row r="44" spans="2:33" ht="17" thickBot="1" x14ac:dyDescent="0.25">
      <c r="B44" s="13" t="s">
        <v>253</v>
      </c>
      <c r="C44" s="10">
        <v>1</v>
      </c>
      <c r="D44" s="12">
        <v>28</v>
      </c>
      <c r="E44" s="13">
        <v>0</v>
      </c>
      <c r="F44" s="14">
        <v>1</v>
      </c>
      <c r="G44" s="13">
        <v>0</v>
      </c>
      <c r="H44" s="14">
        <v>1</v>
      </c>
      <c r="I44" s="13">
        <v>0</v>
      </c>
      <c r="J44" s="14">
        <v>1</v>
      </c>
      <c r="K44" s="13">
        <v>1</v>
      </c>
      <c r="L44" s="14">
        <v>0</v>
      </c>
      <c r="M44" s="13">
        <v>1</v>
      </c>
      <c r="N44" s="14">
        <v>0</v>
      </c>
      <c r="O44" s="13">
        <v>0</v>
      </c>
      <c r="P44" s="13">
        <v>1</v>
      </c>
      <c r="Q44" s="42">
        <v>0</v>
      </c>
      <c r="R44" s="13" t="s">
        <v>253</v>
      </c>
      <c r="S44" s="12">
        <v>28</v>
      </c>
      <c r="T44" s="44">
        <f t="shared" si="14"/>
        <v>0</v>
      </c>
      <c r="U44" s="44">
        <f t="shared" si="15"/>
        <v>28</v>
      </c>
      <c r="V44" s="44">
        <f t="shared" si="16"/>
        <v>0</v>
      </c>
      <c r="W44" s="44">
        <f t="shared" si="17"/>
        <v>28</v>
      </c>
      <c r="X44" s="44">
        <f t="shared" si="18"/>
        <v>0</v>
      </c>
      <c r="Y44" s="44">
        <f t="shared" si="19"/>
        <v>28</v>
      </c>
      <c r="Z44" s="44">
        <f t="shared" si="20"/>
        <v>28</v>
      </c>
      <c r="AA44" s="44">
        <f t="shared" si="21"/>
        <v>0</v>
      </c>
      <c r="AB44" s="44">
        <f t="shared" si="22"/>
        <v>28</v>
      </c>
      <c r="AC44" s="44">
        <f t="shared" si="23"/>
        <v>0</v>
      </c>
      <c r="AD44" s="44">
        <f t="shared" si="24"/>
        <v>0</v>
      </c>
      <c r="AE44" s="44">
        <f t="shared" si="25"/>
        <v>28</v>
      </c>
      <c r="AF44" s="44">
        <f t="shared" si="26"/>
        <v>0</v>
      </c>
      <c r="AG44">
        <f t="shared" si="13"/>
        <v>28</v>
      </c>
    </row>
    <row r="45" spans="2:33" x14ac:dyDescent="0.2">
      <c r="B45" s="28" t="s">
        <v>254</v>
      </c>
      <c r="C45" s="27">
        <v>1</v>
      </c>
      <c r="D45" s="26">
        <v>65</v>
      </c>
      <c r="E45" s="24">
        <v>0</v>
      </c>
      <c r="F45" s="22">
        <v>1</v>
      </c>
      <c r="G45" s="24">
        <v>0</v>
      </c>
      <c r="H45" s="22">
        <v>1</v>
      </c>
      <c r="I45" s="24">
        <v>0</v>
      </c>
      <c r="J45" s="22">
        <v>1</v>
      </c>
      <c r="K45" s="25" t="s">
        <v>188</v>
      </c>
      <c r="L45" s="15">
        <v>3.2789999999999998E-8</v>
      </c>
      <c r="M45" s="24">
        <v>1</v>
      </c>
      <c r="N45" s="22">
        <v>0</v>
      </c>
      <c r="O45" s="24">
        <v>0</v>
      </c>
      <c r="P45" s="23">
        <v>1</v>
      </c>
      <c r="Q45" s="41">
        <v>0</v>
      </c>
      <c r="R45" s="28" t="s">
        <v>254</v>
      </c>
      <c r="S45" s="26">
        <v>65</v>
      </c>
      <c r="T45" s="44">
        <f t="shared" si="14"/>
        <v>0</v>
      </c>
      <c r="U45" s="44">
        <f t="shared" si="15"/>
        <v>65</v>
      </c>
      <c r="V45" s="44">
        <f t="shared" si="16"/>
        <v>0</v>
      </c>
      <c r="W45" s="44">
        <f t="shared" si="17"/>
        <v>65</v>
      </c>
      <c r="X45" s="44">
        <f t="shared" si="18"/>
        <v>0</v>
      </c>
      <c r="Y45" s="44">
        <f t="shared" si="19"/>
        <v>65</v>
      </c>
      <c r="Z45" s="44">
        <f t="shared" si="20"/>
        <v>65</v>
      </c>
      <c r="AA45" s="44">
        <f t="shared" si="21"/>
        <v>0</v>
      </c>
      <c r="AB45" s="44">
        <f t="shared" si="22"/>
        <v>65</v>
      </c>
      <c r="AC45" s="44">
        <f t="shared" si="23"/>
        <v>0</v>
      </c>
      <c r="AD45" s="44">
        <f t="shared" si="24"/>
        <v>0</v>
      </c>
      <c r="AE45" s="44">
        <f t="shared" si="25"/>
        <v>65</v>
      </c>
      <c r="AF45" s="44">
        <f t="shared" si="26"/>
        <v>0</v>
      </c>
      <c r="AG45">
        <f t="shared" si="13"/>
        <v>65</v>
      </c>
    </row>
    <row r="46" spans="2:33" ht="17" thickBot="1" x14ac:dyDescent="0.25">
      <c r="B46" s="10" t="s">
        <v>255</v>
      </c>
      <c r="C46" s="10">
        <v>1</v>
      </c>
      <c r="D46" s="12">
        <v>26</v>
      </c>
      <c r="E46" s="13">
        <v>0</v>
      </c>
      <c r="F46" s="14">
        <v>1</v>
      </c>
      <c r="G46" s="13">
        <v>0</v>
      </c>
      <c r="H46" s="14">
        <v>1</v>
      </c>
      <c r="I46" s="13">
        <v>0</v>
      </c>
      <c r="J46" s="14">
        <v>1</v>
      </c>
      <c r="K46" s="13">
        <v>1</v>
      </c>
      <c r="L46" s="14">
        <v>0</v>
      </c>
      <c r="M46" s="13">
        <v>1</v>
      </c>
      <c r="N46" s="14">
        <v>0</v>
      </c>
      <c r="O46" s="13">
        <v>0</v>
      </c>
      <c r="P46" s="13">
        <v>1</v>
      </c>
      <c r="Q46" s="42">
        <v>0</v>
      </c>
      <c r="R46" s="10" t="s">
        <v>255</v>
      </c>
      <c r="S46" s="12">
        <v>26</v>
      </c>
      <c r="T46" s="44">
        <f t="shared" si="14"/>
        <v>0</v>
      </c>
      <c r="U46" s="44">
        <f t="shared" si="15"/>
        <v>26</v>
      </c>
      <c r="V46" s="44">
        <f t="shared" si="16"/>
        <v>0</v>
      </c>
      <c r="W46" s="44">
        <f t="shared" si="17"/>
        <v>26</v>
      </c>
      <c r="X46" s="44">
        <f t="shared" si="18"/>
        <v>0</v>
      </c>
      <c r="Y46" s="44">
        <f t="shared" si="19"/>
        <v>26</v>
      </c>
      <c r="Z46" s="44">
        <f t="shared" si="20"/>
        <v>26</v>
      </c>
      <c r="AA46" s="44">
        <f t="shared" si="21"/>
        <v>0</v>
      </c>
      <c r="AB46" s="44">
        <f t="shared" si="22"/>
        <v>26</v>
      </c>
      <c r="AC46" s="44">
        <f t="shared" si="23"/>
        <v>0</v>
      </c>
      <c r="AD46" s="44">
        <f t="shared" si="24"/>
        <v>0</v>
      </c>
      <c r="AE46" s="44">
        <f t="shared" si="25"/>
        <v>26</v>
      </c>
      <c r="AF46" s="44">
        <f t="shared" si="26"/>
        <v>0</v>
      </c>
      <c r="AG46">
        <f t="shared" si="13"/>
        <v>26</v>
      </c>
    </row>
    <row r="47" spans="2:33" ht="17" thickBot="1" x14ac:dyDescent="0.25">
      <c r="B47" s="13" t="s">
        <v>256</v>
      </c>
      <c r="C47" s="10">
        <v>1</v>
      </c>
      <c r="D47" s="12">
        <v>29</v>
      </c>
      <c r="E47" s="13">
        <v>0</v>
      </c>
      <c r="F47" s="14">
        <v>1</v>
      </c>
      <c r="G47" s="13">
        <v>0</v>
      </c>
      <c r="H47" s="14">
        <v>1</v>
      </c>
      <c r="I47" s="13">
        <v>0</v>
      </c>
      <c r="J47" s="14">
        <v>1</v>
      </c>
      <c r="K47" s="13">
        <v>1</v>
      </c>
      <c r="L47" s="14">
        <v>0</v>
      </c>
      <c r="M47" s="13">
        <v>1</v>
      </c>
      <c r="N47" s="14">
        <v>0</v>
      </c>
      <c r="O47" s="13">
        <v>0</v>
      </c>
      <c r="P47" s="13">
        <v>1</v>
      </c>
      <c r="Q47" s="42">
        <v>0</v>
      </c>
      <c r="R47" s="13" t="s">
        <v>256</v>
      </c>
      <c r="S47" s="12">
        <v>29</v>
      </c>
      <c r="T47" s="44">
        <f t="shared" si="14"/>
        <v>0</v>
      </c>
      <c r="U47" s="44">
        <f t="shared" si="15"/>
        <v>29</v>
      </c>
      <c r="V47" s="44">
        <f t="shared" si="16"/>
        <v>0</v>
      </c>
      <c r="W47" s="44">
        <f t="shared" si="17"/>
        <v>29</v>
      </c>
      <c r="X47" s="44">
        <f t="shared" si="18"/>
        <v>0</v>
      </c>
      <c r="Y47" s="44">
        <f t="shared" si="19"/>
        <v>29</v>
      </c>
      <c r="Z47" s="44">
        <f t="shared" si="20"/>
        <v>29</v>
      </c>
      <c r="AA47" s="44">
        <f t="shared" si="21"/>
        <v>0</v>
      </c>
      <c r="AB47" s="44">
        <f t="shared" si="22"/>
        <v>29</v>
      </c>
      <c r="AC47" s="44">
        <f t="shared" si="23"/>
        <v>0</v>
      </c>
      <c r="AD47" s="44">
        <f t="shared" si="24"/>
        <v>0</v>
      </c>
      <c r="AE47" s="44">
        <f t="shared" si="25"/>
        <v>29</v>
      </c>
      <c r="AF47" s="44">
        <f t="shared" si="26"/>
        <v>0</v>
      </c>
      <c r="AG47">
        <f t="shared" si="13"/>
        <v>29</v>
      </c>
    </row>
    <row r="48" spans="2:33" ht="17" thickBot="1" x14ac:dyDescent="0.25">
      <c r="B48" s="13" t="s">
        <v>257</v>
      </c>
      <c r="C48" s="10">
        <v>1</v>
      </c>
      <c r="D48" s="12">
        <v>29</v>
      </c>
      <c r="E48" s="13">
        <v>0</v>
      </c>
      <c r="F48" s="14">
        <v>1</v>
      </c>
      <c r="G48" s="13">
        <v>0</v>
      </c>
      <c r="H48" s="14">
        <v>1</v>
      </c>
      <c r="I48" s="13">
        <v>0</v>
      </c>
      <c r="J48" s="14">
        <v>1</v>
      </c>
      <c r="K48" s="13">
        <v>1</v>
      </c>
      <c r="L48" s="14">
        <v>0</v>
      </c>
      <c r="M48" s="13">
        <v>1</v>
      </c>
      <c r="N48" s="14">
        <v>0</v>
      </c>
      <c r="O48" s="13">
        <v>0</v>
      </c>
      <c r="P48" s="13">
        <v>1</v>
      </c>
      <c r="Q48" s="42">
        <v>0</v>
      </c>
      <c r="R48" s="13" t="s">
        <v>257</v>
      </c>
      <c r="S48" s="12">
        <v>29</v>
      </c>
      <c r="T48" s="44">
        <f t="shared" si="14"/>
        <v>0</v>
      </c>
      <c r="U48" s="44">
        <f t="shared" si="15"/>
        <v>29</v>
      </c>
      <c r="V48" s="44">
        <f t="shared" si="16"/>
        <v>0</v>
      </c>
      <c r="W48" s="44">
        <f t="shared" si="17"/>
        <v>29</v>
      </c>
      <c r="X48" s="44">
        <f t="shared" si="18"/>
        <v>0</v>
      </c>
      <c r="Y48" s="44">
        <f t="shared" si="19"/>
        <v>29</v>
      </c>
      <c r="Z48" s="44">
        <f t="shared" si="20"/>
        <v>29</v>
      </c>
      <c r="AA48" s="44">
        <f t="shared" si="21"/>
        <v>0</v>
      </c>
      <c r="AB48" s="44">
        <f t="shared" si="22"/>
        <v>29</v>
      </c>
      <c r="AC48" s="44">
        <f t="shared" si="23"/>
        <v>0</v>
      </c>
      <c r="AD48" s="44">
        <f t="shared" si="24"/>
        <v>0</v>
      </c>
      <c r="AE48" s="44">
        <f t="shared" si="25"/>
        <v>29</v>
      </c>
      <c r="AF48" s="44">
        <f t="shared" si="26"/>
        <v>0</v>
      </c>
      <c r="AG48">
        <f t="shared" si="13"/>
        <v>29</v>
      </c>
    </row>
    <row r="49" spans="2:33" x14ac:dyDescent="0.2">
      <c r="B49" s="28" t="s">
        <v>258</v>
      </c>
      <c r="C49" s="27">
        <v>1</v>
      </c>
      <c r="D49" s="26">
        <v>47</v>
      </c>
      <c r="E49" s="24">
        <v>0</v>
      </c>
      <c r="F49" s="22">
        <v>1</v>
      </c>
      <c r="G49" s="24">
        <v>0</v>
      </c>
      <c r="H49" s="22">
        <v>1</v>
      </c>
      <c r="I49" s="24">
        <v>0</v>
      </c>
      <c r="J49" s="22">
        <v>1</v>
      </c>
      <c r="K49" s="25" t="s">
        <v>188</v>
      </c>
      <c r="L49" s="15">
        <v>4.6620000000000003E-8</v>
      </c>
      <c r="M49" s="24">
        <v>1</v>
      </c>
      <c r="N49" s="22">
        <v>0</v>
      </c>
      <c r="O49" s="24">
        <v>0</v>
      </c>
      <c r="P49" s="23">
        <v>1</v>
      </c>
      <c r="Q49" s="41">
        <v>0</v>
      </c>
      <c r="R49" s="28" t="s">
        <v>258</v>
      </c>
      <c r="S49" s="26">
        <v>47</v>
      </c>
      <c r="T49" s="44">
        <f t="shared" si="14"/>
        <v>0</v>
      </c>
      <c r="U49" s="44">
        <f t="shared" si="15"/>
        <v>47</v>
      </c>
      <c r="V49" s="44">
        <f t="shared" si="16"/>
        <v>0</v>
      </c>
      <c r="W49" s="44">
        <f t="shared" si="17"/>
        <v>47</v>
      </c>
      <c r="X49" s="44">
        <f t="shared" si="18"/>
        <v>0</v>
      </c>
      <c r="Y49" s="44">
        <f t="shared" si="19"/>
        <v>47</v>
      </c>
      <c r="Z49" s="44">
        <f t="shared" si="20"/>
        <v>47</v>
      </c>
      <c r="AA49" s="44">
        <f t="shared" si="21"/>
        <v>0</v>
      </c>
      <c r="AB49" s="44">
        <f t="shared" si="22"/>
        <v>47</v>
      </c>
      <c r="AC49" s="44">
        <f t="shared" si="23"/>
        <v>0</v>
      </c>
      <c r="AD49" s="44">
        <f t="shared" si="24"/>
        <v>0</v>
      </c>
      <c r="AE49" s="44">
        <f t="shared" si="25"/>
        <v>47</v>
      </c>
      <c r="AF49" s="44">
        <f t="shared" si="26"/>
        <v>0</v>
      </c>
      <c r="AG49">
        <f t="shared" si="13"/>
        <v>47</v>
      </c>
    </row>
    <row r="50" spans="2:33" ht="27" thickBot="1" x14ac:dyDescent="0.25">
      <c r="B50" s="13" t="s">
        <v>259</v>
      </c>
      <c r="C50" s="10">
        <v>1</v>
      </c>
      <c r="D50" s="12">
        <v>75</v>
      </c>
      <c r="E50" s="13">
        <v>0</v>
      </c>
      <c r="F50" s="14">
        <v>1</v>
      </c>
      <c r="G50" s="13">
        <v>0</v>
      </c>
      <c r="H50" s="14">
        <v>1</v>
      </c>
      <c r="I50" s="13">
        <v>0</v>
      </c>
      <c r="J50" s="14">
        <v>1</v>
      </c>
      <c r="K50" s="13">
        <v>1</v>
      </c>
      <c r="L50" s="14">
        <v>0</v>
      </c>
      <c r="M50" s="13">
        <v>1</v>
      </c>
      <c r="N50" s="14">
        <v>0</v>
      </c>
      <c r="O50" s="13">
        <v>0</v>
      </c>
      <c r="P50" s="13">
        <v>1</v>
      </c>
      <c r="Q50" s="42">
        <v>0</v>
      </c>
      <c r="R50" s="13" t="s">
        <v>259</v>
      </c>
      <c r="S50" s="12">
        <v>75</v>
      </c>
      <c r="T50" s="44">
        <f t="shared" si="14"/>
        <v>0</v>
      </c>
      <c r="U50" s="44">
        <f t="shared" si="15"/>
        <v>75</v>
      </c>
      <c r="V50" s="44">
        <f t="shared" si="16"/>
        <v>0</v>
      </c>
      <c r="W50" s="44">
        <f t="shared" si="17"/>
        <v>75</v>
      </c>
      <c r="X50" s="44">
        <f t="shared" si="18"/>
        <v>0</v>
      </c>
      <c r="Y50" s="44">
        <f t="shared" si="19"/>
        <v>75</v>
      </c>
      <c r="Z50" s="44">
        <f t="shared" si="20"/>
        <v>75</v>
      </c>
      <c r="AA50" s="44">
        <f t="shared" si="21"/>
        <v>0</v>
      </c>
      <c r="AB50" s="44">
        <f t="shared" si="22"/>
        <v>75</v>
      </c>
      <c r="AC50" s="44">
        <f t="shared" si="23"/>
        <v>0</v>
      </c>
      <c r="AD50" s="44">
        <f t="shared" si="24"/>
        <v>0</v>
      </c>
      <c r="AE50" s="44">
        <f t="shared" si="25"/>
        <v>75</v>
      </c>
      <c r="AF50" s="44">
        <f t="shared" si="26"/>
        <v>0</v>
      </c>
      <c r="AG50">
        <f t="shared" si="13"/>
        <v>75</v>
      </c>
    </row>
    <row r="51" spans="2:33" ht="17" thickBot="1" x14ac:dyDescent="0.25">
      <c r="B51" s="13" t="s">
        <v>260</v>
      </c>
      <c r="C51" s="10">
        <v>1</v>
      </c>
      <c r="D51" s="12">
        <v>25</v>
      </c>
      <c r="E51" s="13">
        <v>0</v>
      </c>
      <c r="F51" s="14">
        <v>1</v>
      </c>
      <c r="G51" s="13">
        <v>0</v>
      </c>
      <c r="H51" s="14">
        <v>1</v>
      </c>
      <c r="I51" s="13">
        <v>0</v>
      </c>
      <c r="J51" s="14">
        <v>1</v>
      </c>
      <c r="K51" s="13">
        <v>1</v>
      </c>
      <c r="L51" s="14">
        <v>0</v>
      </c>
      <c r="M51" s="13">
        <v>1</v>
      </c>
      <c r="N51" s="14">
        <v>0</v>
      </c>
      <c r="O51" s="13">
        <v>0</v>
      </c>
      <c r="P51" s="13">
        <v>1</v>
      </c>
      <c r="Q51" s="42">
        <v>0</v>
      </c>
      <c r="R51" s="13" t="s">
        <v>260</v>
      </c>
      <c r="S51" s="12">
        <v>25</v>
      </c>
      <c r="T51" s="44">
        <f t="shared" si="14"/>
        <v>0</v>
      </c>
      <c r="U51" s="44">
        <f t="shared" si="15"/>
        <v>25</v>
      </c>
      <c r="V51" s="44">
        <f t="shared" si="16"/>
        <v>0</v>
      </c>
      <c r="W51" s="44">
        <f t="shared" si="17"/>
        <v>25</v>
      </c>
      <c r="X51" s="44">
        <f t="shared" si="18"/>
        <v>0</v>
      </c>
      <c r="Y51" s="44">
        <f t="shared" si="19"/>
        <v>25</v>
      </c>
      <c r="Z51" s="44">
        <f t="shared" si="20"/>
        <v>25</v>
      </c>
      <c r="AA51" s="44">
        <f t="shared" si="21"/>
        <v>0</v>
      </c>
      <c r="AB51" s="44">
        <f t="shared" si="22"/>
        <v>25</v>
      </c>
      <c r="AC51" s="44">
        <f t="shared" si="23"/>
        <v>0</v>
      </c>
      <c r="AD51" s="44">
        <f t="shared" si="24"/>
        <v>0</v>
      </c>
      <c r="AE51" s="44">
        <f t="shared" si="25"/>
        <v>25</v>
      </c>
      <c r="AF51" s="44">
        <f t="shared" si="26"/>
        <v>0</v>
      </c>
      <c r="AG51">
        <f t="shared" si="13"/>
        <v>25</v>
      </c>
    </row>
    <row r="52" spans="2:33" x14ac:dyDescent="0.2">
      <c r="B52" s="27" t="s">
        <v>261</v>
      </c>
      <c r="C52" s="43">
        <v>2</v>
      </c>
      <c r="D52" s="26">
        <v>32</v>
      </c>
      <c r="E52" s="24">
        <v>0</v>
      </c>
      <c r="F52" s="22">
        <v>1</v>
      </c>
      <c r="G52" s="24">
        <v>0</v>
      </c>
      <c r="H52" s="22">
        <v>1</v>
      </c>
      <c r="I52" s="24">
        <v>0</v>
      </c>
      <c r="J52" s="22">
        <v>1</v>
      </c>
      <c r="K52" s="25" t="s">
        <v>188</v>
      </c>
      <c r="L52" s="15">
        <v>4.3340000000000003E-8</v>
      </c>
      <c r="M52" s="24">
        <v>1</v>
      </c>
      <c r="N52" s="22">
        <v>0</v>
      </c>
      <c r="O52" s="24">
        <v>0</v>
      </c>
      <c r="P52" s="23">
        <v>1</v>
      </c>
      <c r="Q52" s="41">
        <v>0</v>
      </c>
      <c r="R52" s="27" t="s">
        <v>261</v>
      </c>
      <c r="S52" s="26">
        <v>32</v>
      </c>
      <c r="T52" s="44">
        <f t="shared" si="14"/>
        <v>0</v>
      </c>
      <c r="U52" s="44">
        <f t="shared" si="15"/>
        <v>32</v>
      </c>
      <c r="V52" s="44">
        <f t="shared" si="16"/>
        <v>0</v>
      </c>
      <c r="W52" s="44">
        <f t="shared" si="17"/>
        <v>32</v>
      </c>
      <c r="X52" s="44">
        <f t="shared" si="18"/>
        <v>0</v>
      </c>
      <c r="Y52" s="44">
        <f t="shared" si="19"/>
        <v>32</v>
      </c>
      <c r="Z52" s="44">
        <f t="shared" si="20"/>
        <v>32</v>
      </c>
      <c r="AA52" s="44">
        <f t="shared" si="21"/>
        <v>0</v>
      </c>
      <c r="AB52" s="44">
        <f t="shared" si="22"/>
        <v>32</v>
      </c>
      <c r="AC52" s="44">
        <f t="shared" si="23"/>
        <v>0</v>
      </c>
      <c r="AD52" s="44">
        <f t="shared" si="24"/>
        <v>0</v>
      </c>
      <c r="AE52" s="44">
        <f t="shared" si="25"/>
        <v>32</v>
      </c>
      <c r="AF52" s="44">
        <f t="shared" si="26"/>
        <v>0</v>
      </c>
      <c r="AG52">
        <f t="shared" si="13"/>
        <v>32</v>
      </c>
    </row>
    <row r="53" spans="2:33" ht="17" thickBot="1" x14ac:dyDescent="0.25">
      <c r="B53" s="13" t="s">
        <v>262</v>
      </c>
      <c r="C53" s="10">
        <v>1</v>
      </c>
      <c r="D53" s="12">
        <v>13</v>
      </c>
      <c r="E53" s="13">
        <v>0</v>
      </c>
      <c r="F53" s="14">
        <v>1</v>
      </c>
      <c r="G53" s="13">
        <v>0</v>
      </c>
      <c r="H53" s="14">
        <v>1</v>
      </c>
      <c r="I53" s="13">
        <v>0</v>
      </c>
      <c r="J53" s="14">
        <v>1</v>
      </c>
      <c r="K53" s="13">
        <v>1</v>
      </c>
      <c r="L53" s="14">
        <v>0</v>
      </c>
      <c r="M53" s="13">
        <v>1</v>
      </c>
      <c r="N53" s="14">
        <v>0</v>
      </c>
      <c r="O53" s="13">
        <v>0</v>
      </c>
      <c r="P53" s="13">
        <v>1</v>
      </c>
      <c r="Q53" s="42">
        <v>0</v>
      </c>
      <c r="R53" s="13" t="s">
        <v>262</v>
      </c>
      <c r="S53" s="12">
        <v>13</v>
      </c>
      <c r="T53" s="44">
        <f t="shared" si="14"/>
        <v>0</v>
      </c>
      <c r="U53" s="44">
        <f t="shared" si="15"/>
        <v>13</v>
      </c>
      <c r="V53" s="44">
        <f t="shared" si="16"/>
        <v>0</v>
      </c>
      <c r="W53" s="44">
        <f t="shared" si="17"/>
        <v>13</v>
      </c>
      <c r="X53" s="44">
        <f t="shared" si="18"/>
        <v>0</v>
      </c>
      <c r="Y53" s="44">
        <f t="shared" si="19"/>
        <v>13</v>
      </c>
      <c r="Z53" s="44">
        <f t="shared" si="20"/>
        <v>13</v>
      </c>
      <c r="AA53" s="44">
        <f t="shared" si="21"/>
        <v>0</v>
      </c>
      <c r="AB53" s="44">
        <f t="shared" si="22"/>
        <v>13</v>
      </c>
      <c r="AC53" s="44">
        <f t="shared" si="23"/>
        <v>0</v>
      </c>
      <c r="AD53" s="44">
        <f t="shared" si="24"/>
        <v>0</v>
      </c>
      <c r="AE53" s="44">
        <f t="shared" si="25"/>
        <v>13</v>
      </c>
      <c r="AF53" s="44">
        <f t="shared" si="26"/>
        <v>0</v>
      </c>
      <c r="AG53">
        <f t="shared" si="13"/>
        <v>13</v>
      </c>
    </row>
    <row r="54" spans="2:33" x14ac:dyDescent="0.2">
      <c r="B54" s="23" t="s">
        <v>263</v>
      </c>
      <c r="C54" s="27">
        <v>1</v>
      </c>
      <c r="D54" s="26">
        <v>77</v>
      </c>
      <c r="E54" s="24">
        <v>0</v>
      </c>
      <c r="F54" s="22">
        <v>1</v>
      </c>
      <c r="G54" s="24">
        <v>0</v>
      </c>
      <c r="H54" s="22">
        <v>1</v>
      </c>
      <c r="I54" s="24">
        <v>0</v>
      </c>
      <c r="J54" s="22">
        <v>1</v>
      </c>
      <c r="K54" s="25" t="s">
        <v>188</v>
      </c>
      <c r="L54" s="15">
        <v>3.9300000000000001E-8</v>
      </c>
      <c r="M54" s="24">
        <v>1</v>
      </c>
      <c r="N54" s="22">
        <v>0</v>
      </c>
      <c r="O54" s="24">
        <v>0</v>
      </c>
      <c r="P54" s="23">
        <v>1</v>
      </c>
      <c r="Q54" s="41">
        <v>0</v>
      </c>
      <c r="R54" s="23" t="s">
        <v>263</v>
      </c>
      <c r="S54" s="26">
        <v>77</v>
      </c>
      <c r="T54" s="44">
        <f t="shared" si="14"/>
        <v>0</v>
      </c>
      <c r="U54" s="44">
        <f t="shared" si="15"/>
        <v>77</v>
      </c>
      <c r="V54" s="44">
        <f t="shared" si="16"/>
        <v>0</v>
      </c>
      <c r="W54" s="44">
        <f t="shared" si="17"/>
        <v>77</v>
      </c>
      <c r="X54" s="44">
        <f t="shared" si="18"/>
        <v>0</v>
      </c>
      <c r="Y54" s="44">
        <f t="shared" si="19"/>
        <v>77</v>
      </c>
      <c r="Z54" s="44">
        <f t="shared" si="20"/>
        <v>77</v>
      </c>
      <c r="AA54" s="44">
        <f t="shared" si="21"/>
        <v>0</v>
      </c>
      <c r="AB54" s="44">
        <f t="shared" si="22"/>
        <v>77</v>
      </c>
      <c r="AC54" s="44">
        <f t="shared" si="23"/>
        <v>0</v>
      </c>
      <c r="AD54" s="44">
        <f t="shared" si="24"/>
        <v>0</v>
      </c>
      <c r="AE54" s="44">
        <f t="shared" si="25"/>
        <v>77</v>
      </c>
      <c r="AF54" s="44">
        <f t="shared" si="26"/>
        <v>0</v>
      </c>
      <c r="AG54">
        <f t="shared" si="13"/>
        <v>77</v>
      </c>
    </row>
    <row r="55" spans="2:33" ht="17" thickBot="1" x14ac:dyDescent="0.25">
      <c r="B55" s="13" t="s">
        <v>264</v>
      </c>
      <c r="C55" s="10">
        <v>1</v>
      </c>
      <c r="D55" s="12">
        <v>27</v>
      </c>
      <c r="E55" s="13">
        <v>0</v>
      </c>
      <c r="F55" s="14">
        <v>1</v>
      </c>
      <c r="G55" s="13">
        <v>0</v>
      </c>
      <c r="H55" s="14">
        <v>1</v>
      </c>
      <c r="I55" s="13">
        <v>0</v>
      </c>
      <c r="J55" s="14">
        <v>1</v>
      </c>
      <c r="K55" s="13">
        <v>1</v>
      </c>
      <c r="L55" s="14">
        <v>0</v>
      </c>
      <c r="M55" s="13">
        <v>1</v>
      </c>
      <c r="N55" s="14">
        <v>0</v>
      </c>
      <c r="O55" s="13">
        <v>0</v>
      </c>
      <c r="P55" s="13">
        <v>1</v>
      </c>
      <c r="Q55" s="42">
        <v>0</v>
      </c>
      <c r="R55" s="13" t="s">
        <v>264</v>
      </c>
      <c r="S55" s="12">
        <v>27</v>
      </c>
      <c r="T55" s="44">
        <f t="shared" si="14"/>
        <v>0</v>
      </c>
      <c r="U55" s="44">
        <f t="shared" si="15"/>
        <v>27</v>
      </c>
      <c r="V55" s="44">
        <f t="shared" si="16"/>
        <v>0</v>
      </c>
      <c r="W55" s="44">
        <f t="shared" si="17"/>
        <v>27</v>
      </c>
      <c r="X55" s="44">
        <f t="shared" si="18"/>
        <v>0</v>
      </c>
      <c r="Y55" s="44">
        <f t="shared" si="19"/>
        <v>27</v>
      </c>
      <c r="Z55" s="44">
        <f t="shared" si="20"/>
        <v>27</v>
      </c>
      <c r="AA55" s="44">
        <f t="shared" si="21"/>
        <v>0</v>
      </c>
      <c r="AB55" s="44">
        <f t="shared" si="22"/>
        <v>27</v>
      </c>
      <c r="AC55" s="44">
        <f t="shared" si="23"/>
        <v>0</v>
      </c>
      <c r="AD55" s="44">
        <f t="shared" si="24"/>
        <v>0</v>
      </c>
      <c r="AE55" s="44">
        <f t="shared" si="25"/>
        <v>27</v>
      </c>
      <c r="AF55" s="44">
        <f t="shared" si="26"/>
        <v>0</v>
      </c>
      <c r="AG55">
        <f t="shared" si="13"/>
        <v>27</v>
      </c>
    </row>
    <row r="56" spans="2:33" ht="17" thickBot="1" x14ac:dyDescent="0.25">
      <c r="B56" s="13" t="s">
        <v>265</v>
      </c>
      <c r="C56" s="10">
        <v>1</v>
      </c>
      <c r="D56" s="12">
        <v>29</v>
      </c>
      <c r="E56" s="13">
        <v>0</v>
      </c>
      <c r="F56" s="14">
        <v>1</v>
      </c>
      <c r="G56" s="13">
        <v>0</v>
      </c>
      <c r="H56" s="14">
        <v>1</v>
      </c>
      <c r="I56" s="13">
        <v>0</v>
      </c>
      <c r="J56" s="14">
        <v>1</v>
      </c>
      <c r="K56" s="13">
        <v>1</v>
      </c>
      <c r="L56" s="14">
        <v>0</v>
      </c>
      <c r="M56" s="13">
        <v>1</v>
      </c>
      <c r="N56" s="14">
        <v>0</v>
      </c>
      <c r="O56" s="13">
        <v>0</v>
      </c>
      <c r="P56" s="13">
        <v>1</v>
      </c>
      <c r="Q56" s="42">
        <v>0</v>
      </c>
      <c r="R56" s="13" t="s">
        <v>265</v>
      </c>
      <c r="S56" s="12">
        <v>29</v>
      </c>
      <c r="T56" s="44">
        <f t="shared" si="14"/>
        <v>0</v>
      </c>
      <c r="U56" s="44">
        <f t="shared" si="15"/>
        <v>29</v>
      </c>
      <c r="V56" s="44">
        <f t="shared" si="16"/>
        <v>0</v>
      </c>
      <c r="W56" s="44">
        <f t="shared" si="17"/>
        <v>29</v>
      </c>
      <c r="X56" s="44">
        <f t="shared" si="18"/>
        <v>0</v>
      </c>
      <c r="Y56" s="44">
        <f t="shared" si="19"/>
        <v>29</v>
      </c>
      <c r="Z56" s="44">
        <f t="shared" si="20"/>
        <v>29</v>
      </c>
      <c r="AA56" s="44">
        <f t="shared" si="21"/>
        <v>0</v>
      </c>
      <c r="AB56" s="44">
        <f t="shared" si="22"/>
        <v>29</v>
      </c>
      <c r="AC56" s="44">
        <f t="shared" si="23"/>
        <v>0</v>
      </c>
      <c r="AD56" s="44">
        <f t="shared" si="24"/>
        <v>0</v>
      </c>
      <c r="AE56" s="44">
        <f t="shared" si="25"/>
        <v>29</v>
      </c>
      <c r="AF56" s="44">
        <f t="shared" si="26"/>
        <v>0</v>
      </c>
      <c r="AG56">
        <f t="shared" si="13"/>
        <v>29</v>
      </c>
    </row>
    <row r="57" spans="2:33" ht="17" thickBot="1" x14ac:dyDescent="0.25">
      <c r="B57" s="13" t="s">
        <v>266</v>
      </c>
      <c r="C57" s="10">
        <v>1</v>
      </c>
      <c r="D57" s="12">
        <v>18</v>
      </c>
      <c r="E57" s="13">
        <v>0</v>
      </c>
      <c r="F57" s="14">
        <v>1</v>
      </c>
      <c r="G57" s="13">
        <v>0</v>
      </c>
      <c r="H57" s="14">
        <v>1</v>
      </c>
      <c r="I57" s="13">
        <v>0</v>
      </c>
      <c r="J57" s="14">
        <v>1</v>
      </c>
      <c r="K57" s="13">
        <v>1</v>
      </c>
      <c r="L57" s="14">
        <v>0</v>
      </c>
      <c r="M57" s="13">
        <v>1</v>
      </c>
      <c r="N57" s="14">
        <v>0</v>
      </c>
      <c r="O57" s="13">
        <v>0</v>
      </c>
      <c r="P57" s="13">
        <v>1</v>
      </c>
      <c r="Q57" s="42">
        <v>0</v>
      </c>
      <c r="R57" s="13" t="s">
        <v>266</v>
      </c>
      <c r="S57" s="12">
        <v>18</v>
      </c>
      <c r="T57" s="44">
        <f t="shared" si="14"/>
        <v>0</v>
      </c>
      <c r="U57" s="44">
        <f t="shared" si="15"/>
        <v>18</v>
      </c>
      <c r="V57" s="44">
        <f t="shared" si="16"/>
        <v>0</v>
      </c>
      <c r="W57" s="44">
        <f t="shared" si="17"/>
        <v>18</v>
      </c>
      <c r="X57" s="44">
        <f t="shared" si="18"/>
        <v>0</v>
      </c>
      <c r="Y57" s="44">
        <f t="shared" si="19"/>
        <v>18</v>
      </c>
      <c r="Z57" s="44">
        <f t="shared" si="20"/>
        <v>18</v>
      </c>
      <c r="AA57" s="44">
        <f t="shared" si="21"/>
        <v>0</v>
      </c>
      <c r="AB57" s="44">
        <f t="shared" si="22"/>
        <v>18</v>
      </c>
      <c r="AC57" s="44">
        <f t="shared" si="23"/>
        <v>0</v>
      </c>
      <c r="AD57" s="44">
        <f t="shared" si="24"/>
        <v>0</v>
      </c>
      <c r="AE57" s="44">
        <f t="shared" si="25"/>
        <v>18</v>
      </c>
      <c r="AF57" s="44">
        <f t="shared" si="26"/>
        <v>0</v>
      </c>
      <c r="AG57">
        <f t="shared" si="13"/>
        <v>18</v>
      </c>
    </row>
    <row r="58" spans="2:33" x14ac:dyDescent="0.2">
      <c r="B58" s="23" t="s">
        <v>267</v>
      </c>
      <c r="C58" s="27">
        <v>1</v>
      </c>
      <c r="D58" s="26">
        <v>26</v>
      </c>
      <c r="E58" s="24">
        <v>0</v>
      </c>
      <c r="F58" s="22">
        <v>1</v>
      </c>
      <c r="G58" s="24">
        <v>0</v>
      </c>
      <c r="H58" s="22">
        <v>1</v>
      </c>
      <c r="I58" s="24">
        <v>0</v>
      </c>
      <c r="J58" s="22">
        <v>1</v>
      </c>
      <c r="K58" s="25" t="s">
        <v>188</v>
      </c>
      <c r="L58" s="15">
        <v>4.5550000000000001E-8</v>
      </c>
      <c r="M58" s="24">
        <v>1</v>
      </c>
      <c r="N58" s="22">
        <v>0</v>
      </c>
      <c r="O58" s="24">
        <v>0</v>
      </c>
      <c r="P58" s="23">
        <v>1</v>
      </c>
      <c r="Q58" s="41">
        <v>0</v>
      </c>
      <c r="R58" s="23" t="s">
        <v>267</v>
      </c>
      <c r="S58" s="26">
        <v>26</v>
      </c>
      <c r="T58" s="44">
        <f t="shared" si="14"/>
        <v>0</v>
      </c>
      <c r="U58" s="44">
        <f t="shared" si="15"/>
        <v>26</v>
      </c>
      <c r="V58" s="44">
        <f t="shared" si="16"/>
        <v>0</v>
      </c>
      <c r="W58" s="44">
        <f t="shared" si="17"/>
        <v>26</v>
      </c>
      <c r="X58" s="44">
        <f t="shared" si="18"/>
        <v>0</v>
      </c>
      <c r="Y58" s="44">
        <f t="shared" si="19"/>
        <v>26</v>
      </c>
      <c r="Z58" s="44">
        <f t="shared" si="20"/>
        <v>26</v>
      </c>
      <c r="AA58" s="44">
        <f t="shared" si="21"/>
        <v>0</v>
      </c>
      <c r="AB58" s="44">
        <f t="shared" si="22"/>
        <v>26</v>
      </c>
      <c r="AC58" s="44">
        <f t="shared" si="23"/>
        <v>0</v>
      </c>
      <c r="AD58" s="44">
        <f t="shared" si="24"/>
        <v>0</v>
      </c>
      <c r="AE58" s="44">
        <f t="shared" si="25"/>
        <v>26</v>
      </c>
      <c r="AF58" s="44">
        <f t="shared" si="26"/>
        <v>0</v>
      </c>
      <c r="AG58">
        <f t="shared" si="13"/>
        <v>26</v>
      </c>
    </row>
    <row r="59" spans="2:33" ht="17" thickBot="1" x14ac:dyDescent="0.25">
      <c r="B59" s="2" t="s">
        <v>268</v>
      </c>
      <c r="C59" s="20">
        <v>1</v>
      </c>
      <c r="D59" s="21">
        <v>28</v>
      </c>
      <c r="E59" s="2">
        <v>0</v>
      </c>
      <c r="F59" s="3">
        <v>1</v>
      </c>
      <c r="G59" s="2">
        <v>0</v>
      </c>
      <c r="H59" s="3">
        <v>1</v>
      </c>
      <c r="I59" s="2">
        <v>0</v>
      </c>
      <c r="J59" s="3">
        <v>1</v>
      </c>
      <c r="K59" s="2">
        <v>1</v>
      </c>
      <c r="L59" s="3">
        <v>0</v>
      </c>
      <c r="M59" s="2">
        <v>1</v>
      </c>
      <c r="N59" s="3">
        <v>0</v>
      </c>
      <c r="O59" s="2">
        <v>0</v>
      </c>
      <c r="P59" s="2">
        <v>1</v>
      </c>
      <c r="Q59" s="37">
        <v>0</v>
      </c>
      <c r="R59" s="2" t="s">
        <v>268</v>
      </c>
      <c r="S59" s="21">
        <v>28</v>
      </c>
      <c r="T59" s="44">
        <f t="shared" si="14"/>
        <v>0</v>
      </c>
      <c r="U59" s="44">
        <f t="shared" si="15"/>
        <v>28</v>
      </c>
      <c r="V59" s="44">
        <f t="shared" si="16"/>
        <v>0</v>
      </c>
      <c r="W59" s="44">
        <f t="shared" si="17"/>
        <v>28</v>
      </c>
      <c r="X59" s="44">
        <f t="shared" si="18"/>
        <v>0</v>
      </c>
      <c r="Y59" s="44">
        <f t="shared" si="19"/>
        <v>28</v>
      </c>
      <c r="Z59" s="44">
        <f t="shared" si="20"/>
        <v>28</v>
      </c>
      <c r="AA59" s="44">
        <f t="shared" si="21"/>
        <v>0</v>
      </c>
      <c r="AB59" s="44">
        <f t="shared" si="22"/>
        <v>28</v>
      </c>
      <c r="AC59" s="44">
        <f t="shared" si="23"/>
        <v>0</v>
      </c>
      <c r="AD59" s="44">
        <f t="shared" si="24"/>
        <v>0</v>
      </c>
      <c r="AE59" s="44">
        <f t="shared" si="25"/>
        <v>28</v>
      </c>
      <c r="AF59" s="44">
        <f t="shared" si="26"/>
        <v>0</v>
      </c>
      <c r="AG59">
        <f t="shared" si="13"/>
        <v>28</v>
      </c>
    </row>
    <row r="60" spans="2:33" ht="17" thickTop="1" x14ac:dyDescent="0.2"/>
  </sheetData>
  <mergeCells count="15">
    <mergeCell ref="B1:B2"/>
    <mergeCell ref="C1:C2"/>
    <mergeCell ref="D1:D2"/>
    <mergeCell ref="E1:F1"/>
    <mergeCell ref="G1:H1"/>
    <mergeCell ref="T1:U1"/>
    <mergeCell ref="I1:J1"/>
    <mergeCell ref="K1:L1"/>
    <mergeCell ref="M1:N1"/>
    <mergeCell ref="O1:Q1"/>
    <mergeCell ref="V1:W1"/>
    <mergeCell ref="X1:Y1"/>
    <mergeCell ref="Z1:AA1"/>
    <mergeCell ref="AB1:AC1"/>
    <mergeCell ref="AD1:AF1"/>
  </mergeCells>
  <conditionalFormatting sqref="T3:T59">
    <cfRule type="cellIs" dxfId="4" priority="5" operator="greaterThan">
      <formula>0</formula>
    </cfRule>
  </conditionalFormatting>
  <conditionalFormatting sqref="V3:V59">
    <cfRule type="cellIs" dxfId="3" priority="4" operator="greaterThan">
      <formula>0</formula>
    </cfRule>
  </conditionalFormatting>
  <conditionalFormatting sqref="X3:X59">
    <cfRule type="cellIs" dxfId="2" priority="3" operator="greaterThan">
      <formula>0</formula>
    </cfRule>
  </conditionalFormatting>
  <conditionalFormatting sqref="AA3:AA59">
    <cfRule type="cellIs" dxfId="1" priority="2" operator="greaterThan">
      <formula>0</formula>
    </cfRule>
  </conditionalFormatting>
  <conditionalFormatting sqref="AC3:AC59">
    <cfRule type="cellIs" dxfId="0" priority="1" operator="greater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AA462-F2A7-E544-8845-4BD20F4FF5F2}">
  <dimension ref="A1:N71"/>
  <sheetViews>
    <sheetView topLeftCell="G1" workbookViewId="0">
      <selection activeCell="K25" sqref="K25"/>
    </sheetView>
  </sheetViews>
  <sheetFormatPr baseColWidth="10" defaultRowHeight="16" x14ac:dyDescent="0.2"/>
  <cols>
    <col min="3" max="3" width="30.1640625" customWidth="1"/>
    <col min="14" max="14" width="12.6640625" style="46" customWidth="1"/>
  </cols>
  <sheetData>
    <row r="1" spans="1:14" x14ac:dyDescent="0.2">
      <c r="A1" s="1" t="s">
        <v>150</v>
      </c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169</v>
      </c>
      <c r="J1" s="1" t="s">
        <v>168</v>
      </c>
      <c r="K1" s="1" t="s">
        <v>287</v>
      </c>
      <c r="L1" s="1" t="s">
        <v>298</v>
      </c>
      <c r="M1" s="1" t="s">
        <v>313</v>
      </c>
      <c r="N1" s="46" t="s">
        <v>314</v>
      </c>
    </row>
    <row r="2" spans="1:14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2</v>
      </c>
      <c r="G2">
        <v>2023</v>
      </c>
      <c r="H2">
        <v>2023</v>
      </c>
      <c r="I2" t="s">
        <v>170</v>
      </c>
      <c r="J2" s="47" t="s">
        <v>322</v>
      </c>
      <c r="L2" t="s">
        <v>291</v>
      </c>
      <c r="M2" t="str">
        <f>_xlfn.TEXTBEFORE(L2, ",",,,,)</f>
        <v>-13.550789628589406</v>
      </c>
      <c r="N2" t="str">
        <f>_xlfn.TEXTAFTER(L2, ",",,,,)</f>
        <v xml:space="preserve"> 29.683063100432076</v>
      </c>
    </row>
    <row r="3" spans="1:14" x14ac:dyDescent="0.2">
      <c r="A3" t="s">
        <v>0</v>
      </c>
      <c r="B3" t="s">
        <v>1</v>
      </c>
      <c r="C3" t="s">
        <v>23</v>
      </c>
      <c r="D3" t="s">
        <v>24</v>
      </c>
      <c r="E3" t="s">
        <v>25</v>
      </c>
      <c r="F3" t="s">
        <v>23</v>
      </c>
      <c r="G3">
        <v>2023</v>
      </c>
      <c r="H3">
        <v>2023</v>
      </c>
      <c r="I3" t="s">
        <v>316</v>
      </c>
      <c r="J3" s="47" t="s">
        <v>200</v>
      </c>
      <c r="L3" t="s">
        <v>292</v>
      </c>
      <c r="M3" t="str">
        <f t="shared" ref="M3:M20" si="0">_xlfn.TEXTBEFORE(L3, ",",,,,)</f>
        <v>-13.082976250350542</v>
      </c>
      <c r="N3" t="str">
        <f t="shared" ref="N3:N20" si="1">_xlfn.TEXTAFTER(L3, ",",,,,)</f>
        <v xml:space="preserve"> 22.6883969</v>
      </c>
    </row>
    <row r="4" spans="1:14" x14ac:dyDescent="0.2">
      <c r="A4" t="s">
        <v>0</v>
      </c>
      <c r="B4" t="s">
        <v>1</v>
      </c>
      <c r="C4" t="s">
        <v>31</v>
      </c>
      <c r="D4" t="s">
        <v>32</v>
      </c>
      <c r="E4" t="s">
        <v>33</v>
      </c>
      <c r="F4" t="s">
        <v>31</v>
      </c>
      <c r="G4">
        <v>2023</v>
      </c>
      <c r="H4">
        <v>2023</v>
      </c>
      <c r="I4" t="s">
        <v>170</v>
      </c>
      <c r="J4" s="47" t="s">
        <v>232</v>
      </c>
      <c r="K4" t="s">
        <v>294</v>
      </c>
      <c r="L4" t="s">
        <v>293</v>
      </c>
      <c r="M4" t="str">
        <f t="shared" si="0"/>
        <v>-14.639015685851902</v>
      </c>
      <c r="N4" t="str">
        <f t="shared" si="1"/>
        <v xml:space="preserve"> 27.594667795547192</v>
      </c>
    </row>
    <row r="5" spans="1:14" x14ac:dyDescent="0.2">
      <c r="A5" t="s">
        <v>0</v>
      </c>
      <c r="B5" t="s">
        <v>1</v>
      </c>
      <c r="C5" t="s">
        <v>36</v>
      </c>
      <c r="D5" t="s">
        <v>37</v>
      </c>
      <c r="E5" t="s">
        <v>38</v>
      </c>
      <c r="F5" t="s">
        <v>36</v>
      </c>
      <c r="G5">
        <v>2023</v>
      </c>
      <c r="H5">
        <v>2023</v>
      </c>
      <c r="I5" t="s">
        <v>317</v>
      </c>
      <c r="J5" s="47" t="s">
        <v>221</v>
      </c>
      <c r="K5" t="s">
        <v>296</v>
      </c>
      <c r="L5" t="s">
        <v>295</v>
      </c>
      <c r="M5" t="str">
        <f t="shared" si="0"/>
        <v>-17.06964100863481</v>
      </c>
      <c r="N5" t="str">
        <f t="shared" si="1"/>
        <v xml:space="preserve"> 27.670199995600598</v>
      </c>
    </row>
    <row r="6" spans="1:14" x14ac:dyDescent="0.2">
      <c r="A6" t="s">
        <v>0</v>
      </c>
      <c r="B6" t="s">
        <v>1</v>
      </c>
      <c r="C6" t="s">
        <v>44</v>
      </c>
      <c r="D6" t="s">
        <v>45</v>
      </c>
      <c r="E6" t="s">
        <v>46</v>
      </c>
      <c r="F6" t="s">
        <v>44</v>
      </c>
      <c r="G6">
        <v>2023</v>
      </c>
      <c r="H6">
        <v>2023</v>
      </c>
      <c r="I6" t="s">
        <v>316</v>
      </c>
      <c r="J6" s="47" t="s">
        <v>203</v>
      </c>
      <c r="L6" t="s">
        <v>297</v>
      </c>
      <c r="M6" t="str">
        <f t="shared" si="0"/>
        <v>-13.707575467122243</v>
      </c>
      <c r="N6" t="str">
        <f t="shared" si="1"/>
        <v xml:space="preserve"> 24.244560319273013</v>
      </c>
    </row>
    <row r="7" spans="1:14" x14ac:dyDescent="0.2">
      <c r="A7" t="s">
        <v>0</v>
      </c>
      <c r="B7" t="s">
        <v>1</v>
      </c>
      <c r="C7" t="s">
        <v>56</v>
      </c>
      <c r="D7" t="s">
        <v>57</v>
      </c>
      <c r="E7" t="s">
        <v>58</v>
      </c>
      <c r="F7" t="s">
        <v>56</v>
      </c>
      <c r="G7">
        <v>2023</v>
      </c>
      <c r="H7">
        <v>2023</v>
      </c>
      <c r="I7" t="s">
        <v>317</v>
      </c>
      <c r="J7" s="47" t="s">
        <v>216</v>
      </c>
      <c r="L7" t="s">
        <v>299</v>
      </c>
      <c r="M7" t="str">
        <f t="shared" si="0"/>
        <v>-15.962791946873411</v>
      </c>
      <c r="N7" t="str">
        <f t="shared" si="1"/>
        <v xml:space="preserve"> 28.891433242238776</v>
      </c>
    </row>
    <row r="8" spans="1:14" x14ac:dyDescent="0.2">
      <c r="A8" t="s">
        <v>0</v>
      </c>
      <c r="B8" t="s">
        <v>1</v>
      </c>
      <c r="C8" t="s">
        <v>63</v>
      </c>
      <c r="D8" t="s">
        <v>64</v>
      </c>
      <c r="E8" t="s">
        <v>65</v>
      </c>
      <c r="F8" t="s">
        <v>63</v>
      </c>
      <c r="G8">
        <v>2023</v>
      </c>
      <c r="H8">
        <v>2023</v>
      </c>
      <c r="I8" t="s">
        <v>315</v>
      </c>
      <c r="J8" s="47" t="s">
        <v>190</v>
      </c>
      <c r="K8" t="s">
        <v>286</v>
      </c>
      <c r="M8" t="str">
        <f>_xlfn.TEXTBEFORE(L8, ",",,,,"")</f>
        <v/>
      </c>
      <c r="N8" t="str">
        <f>_xlfn.TEXTAFTER(L8, ",",,,,"")</f>
        <v/>
      </c>
    </row>
    <row r="9" spans="1:14" x14ac:dyDescent="0.2">
      <c r="A9" t="s">
        <v>0</v>
      </c>
      <c r="B9" t="s">
        <v>1</v>
      </c>
      <c r="C9" t="s">
        <v>63</v>
      </c>
      <c r="D9" t="s">
        <v>67</v>
      </c>
      <c r="E9" t="s">
        <v>68</v>
      </c>
      <c r="F9" t="s">
        <v>63</v>
      </c>
      <c r="G9">
        <v>2023</v>
      </c>
      <c r="H9">
        <v>2023</v>
      </c>
      <c r="I9" t="s">
        <v>315</v>
      </c>
      <c r="J9" s="47" t="s">
        <v>190</v>
      </c>
      <c r="K9" t="s">
        <v>285</v>
      </c>
      <c r="L9" t="s">
        <v>300</v>
      </c>
      <c r="M9" t="str">
        <f t="shared" si="0"/>
        <v>-17.500666369659644</v>
      </c>
      <c r="N9" t="str">
        <f t="shared" si="1"/>
        <v xml:space="preserve"> 24.278626684083562</v>
      </c>
    </row>
    <row r="10" spans="1:14" x14ac:dyDescent="0.2">
      <c r="A10" t="s">
        <v>0</v>
      </c>
      <c r="B10" t="s">
        <v>1</v>
      </c>
      <c r="C10" t="s">
        <v>71</v>
      </c>
      <c r="D10" t="s">
        <v>72</v>
      </c>
      <c r="E10" t="s">
        <v>73</v>
      </c>
      <c r="F10" t="s">
        <v>71</v>
      </c>
      <c r="G10">
        <v>2023</v>
      </c>
      <c r="H10">
        <v>2023</v>
      </c>
      <c r="I10" t="s">
        <v>316</v>
      </c>
      <c r="J10" s="47" t="s">
        <v>206</v>
      </c>
      <c r="K10" t="s">
        <v>302</v>
      </c>
      <c r="L10" t="s">
        <v>301</v>
      </c>
      <c r="M10" t="str">
        <f t="shared" si="0"/>
        <v>-13.395475607907255</v>
      </c>
      <c r="N10" t="str">
        <f t="shared" si="1"/>
        <v xml:space="preserve"> 24.314855709903345</v>
      </c>
    </row>
    <row r="11" spans="1:14" x14ac:dyDescent="0.2">
      <c r="A11" t="s">
        <v>0</v>
      </c>
      <c r="B11" t="s">
        <v>1</v>
      </c>
      <c r="C11" t="s">
        <v>76</v>
      </c>
      <c r="D11" t="s">
        <v>77</v>
      </c>
      <c r="E11" t="s">
        <v>78</v>
      </c>
      <c r="F11" t="s">
        <v>76</v>
      </c>
      <c r="G11">
        <v>2023</v>
      </c>
      <c r="H11">
        <v>2023</v>
      </c>
      <c r="I11" t="s">
        <v>172</v>
      </c>
      <c r="J11" s="47" t="s">
        <v>254</v>
      </c>
      <c r="L11" t="s">
        <v>303</v>
      </c>
      <c r="M11" t="str">
        <f t="shared" si="0"/>
        <v>-9.369980767799005</v>
      </c>
      <c r="N11" t="str">
        <f t="shared" si="1"/>
        <v xml:space="preserve"> 30.120702297143268</v>
      </c>
    </row>
    <row r="12" spans="1:14" x14ac:dyDescent="0.2">
      <c r="A12" t="s">
        <v>0</v>
      </c>
      <c r="B12" t="s">
        <v>1</v>
      </c>
      <c r="C12" t="s">
        <v>83</v>
      </c>
      <c r="D12" t="s">
        <v>84</v>
      </c>
      <c r="E12" t="s">
        <v>85</v>
      </c>
      <c r="F12" t="s">
        <v>83</v>
      </c>
      <c r="G12">
        <v>2023</v>
      </c>
      <c r="H12">
        <v>2023</v>
      </c>
      <c r="K12" t="s">
        <v>288</v>
      </c>
      <c r="L12" t="s">
        <v>304</v>
      </c>
      <c r="M12" t="str">
        <f t="shared" si="0"/>
        <v>-12.616964163682269</v>
      </c>
      <c r="N12" t="str">
        <f t="shared" si="1"/>
        <v xml:space="preserve"> 31.004158591885435</v>
      </c>
    </row>
    <row r="13" spans="1:14" x14ac:dyDescent="0.2">
      <c r="A13" t="s">
        <v>0</v>
      </c>
      <c r="B13" t="s">
        <v>1</v>
      </c>
      <c r="C13" t="s">
        <v>93</v>
      </c>
      <c r="D13" t="s">
        <v>94</v>
      </c>
      <c r="E13" t="s">
        <v>95</v>
      </c>
      <c r="F13" t="s">
        <v>93</v>
      </c>
      <c r="G13">
        <v>2023</v>
      </c>
      <c r="H13">
        <v>2023</v>
      </c>
      <c r="I13" t="s">
        <v>170</v>
      </c>
      <c r="J13" s="47" t="s">
        <v>236</v>
      </c>
      <c r="K13" t="s">
        <v>290</v>
      </c>
      <c r="L13" t="s">
        <v>289</v>
      </c>
      <c r="M13" t="str">
        <f t="shared" si="0"/>
        <v>-12.9373007</v>
      </c>
      <c r="N13" t="str">
        <f t="shared" si="1"/>
        <v xml:space="preserve"> 30.4400436</v>
      </c>
    </row>
    <row r="14" spans="1:14" x14ac:dyDescent="0.2">
      <c r="A14" t="s">
        <v>0</v>
      </c>
      <c r="B14" t="s">
        <v>1</v>
      </c>
      <c r="C14" t="s">
        <v>100</v>
      </c>
      <c r="D14" t="s">
        <v>101</v>
      </c>
      <c r="E14" t="s">
        <v>102</v>
      </c>
      <c r="F14" t="s">
        <v>100</v>
      </c>
      <c r="G14">
        <v>2023</v>
      </c>
      <c r="H14">
        <v>2023</v>
      </c>
      <c r="I14" t="s">
        <v>172</v>
      </c>
      <c r="J14" s="47" t="s">
        <v>256</v>
      </c>
      <c r="K14" t="s">
        <v>294</v>
      </c>
      <c r="L14" t="s">
        <v>305</v>
      </c>
      <c r="M14" t="str">
        <f t="shared" si="0"/>
        <v>-10.166912431424159</v>
      </c>
      <c r="N14" t="str">
        <f t="shared" si="1"/>
        <v xml:space="preserve"> 31.36471552430589</v>
      </c>
    </row>
    <row r="15" spans="1:14" x14ac:dyDescent="0.2">
      <c r="A15" t="s">
        <v>0</v>
      </c>
      <c r="B15" t="s">
        <v>1</v>
      </c>
      <c r="C15" t="s">
        <v>109</v>
      </c>
      <c r="D15" t="s">
        <v>110</v>
      </c>
      <c r="E15" t="s">
        <v>111</v>
      </c>
      <c r="F15" t="s">
        <v>109</v>
      </c>
      <c r="G15">
        <v>2023</v>
      </c>
      <c r="H15">
        <v>2023</v>
      </c>
      <c r="I15" t="s">
        <v>172</v>
      </c>
      <c r="J15" s="47" t="s">
        <v>252</v>
      </c>
      <c r="K15" t="s">
        <v>307</v>
      </c>
      <c r="L15" t="s">
        <v>306</v>
      </c>
      <c r="M15" t="str">
        <f t="shared" si="0"/>
        <v>-10.255187989863641</v>
      </c>
      <c r="N15" t="str">
        <f t="shared" si="1"/>
        <v xml:space="preserve"> 29.924172166635042</v>
      </c>
    </row>
    <row r="16" spans="1:14" x14ac:dyDescent="0.2">
      <c r="A16" t="s">
        <v>0</v>
      </c>
      <c r="B16" t="s">
        <v>1</v>
      </c>
      <c r="C16" t="s">
        <v>114</v>
      </c>
      <c r="D16" t="s">
        <v>115</v>
      </c>
      <c r="E16" t="s">
        <v>116</v>
      </c>
      <c r="F16" t="s">
        <v>114</v>
      </c>
      <c r="G16">
        <v>2023</v>
      </c>
      <c r="H16">
        <v>2023</v>
      </c>
      <c r="I16" t="s">
        <v>315</v>
      </c>
      <c r="J16" s="47" t="s">
        <v>193</v>
      </c>
      <c r="L16" t="s">
        <v>308</v>
      </c>
      <c r="M16" t="str">
        <f t="shared" si="0"/>
        <v>-16.320877</v>
      </c>
      <c r="N16" t="str">
        <f t="shared" si="1"/>
        <v xml:space="preserve"> 22.092058171163913</v>
      </c>
    </row>
    <row r="17" spans="1:14" x14ac:dyDescent="0.2">
      <c r="A17" t="s">
        <v>0</v>
      </c>
      <c r="B17" t="s">
        <v>1</v>
      </c>
      <c r="C17" t="s">
        <v>127</v>
      </c>
      <c r="D17" t="s">
        <v>115</v>
      </c>
      <c r="E17" t="s">
        <v>116</v>
      </c>
      <c r="F17" t="s">
        <v>127</v>
      </c>
      <c r="G17">
        <v>2023</v>
      </c>
      <c r="H17">
        <v>2023</v>
      </c>
      <c r="L17" t="s">
        <v>309</v>
      </c>
      <c r="M17" t="str">
        <f t="shared" si="0"/>
        <v>-16.947429109688887</v>
      </c>
      <c r="N17" t="str">
        <f t="shared" si="1"/>
        <v xml:space="preserve"> 27.33323875326984</v>
      </c>
    </row>
    <row r="18" spans="1:14" x14ac:dyDescent="0.2">
      <c r="A18" t="s">
        <v>0</v>
      </c>
      <c r="B18" t="s">
        <v>1</v>
      </c>
      <c r="C18" t="s">
        <v>131</v>
      </c>
      <c r="D18" t="s">
        <v>132</v>
      </c>
      <c r="E18" t="s">
        <v>133</v>
      </c>
      <c r="F18" t="s">
        <v>131</v>
      </c>
      <c r="G18">
        <v>2023</v>
      </c>
      <c r="H18">
        <v>2023</v>
      </c>
      <c r="I18" t="s">
        <v>315</v>
      </c>
      <c r="J18" s="47" t="s">
        <v>197</v>
      </c>
      <c r="L18" t="s">
        <v>310</v>
      </c>
      <c r="M18" t="str">
        <f t="shared" si="0"/>
        <v>-16.088007401923996</v>
      </c>
      <c r="N18" t="str">
        <f t="shared" si="1"/>
        <v xml:space="preserve"> 28.698616895578105</v>
      </c>
    </row>
    <row r="19" spans="1:14" x14ac:dyDescent="0.2">
      <c r="A19" t="s">
        <v>0</v>
      </c>
      <c r="B19" t="s">
        <v>1</v>
      </c>
      <c r="C19" t="s">
        <v>137</v>
      </c>
      <c r="D19" t="s">
        <v>138</v>
      </c>
      <c r="E19" t="s">
        <v>139</v>
      </c>
      <c r="F19" t="s">
        <v>137</v>
      </c>
      <c r="G19">
        <v>2023</v>
      </c>
      <c r="H19">
        <v>2023</v>
      </c>
      <c r="I19" t="s">
        <v>315</v>
      </c>
      <c r="J19" s="47" t="s">
        <v>187</v>
      </c>
      <c r="L19" t="s">
        <v>311</v>
      </c>
      <c r="M19" t="str">
        <f t="shared" si="0"/>
        <v>-14.984768885548323</v>
      </c>
      <c r="N19" t="str">
        <f t="shared" si="1"/>
        <v xml:space="preserve"> 22.613146795554258</v>
      </c>
    </row>
    <row r="20" spans="1:14" x14ac:dyDescent="0.2">
      <c r="A20" t="s">
        <v>0</v>
      </c>
      <c r="B20" t="s">
        <v>1</v>
      </c>
      <c r="C20" t="s">
        <v>142</v>
      </c>
      <c r="D20" t="s">
        <v>143</v>
      </c>
      <c r="E20" t="s">
        <v>144</v>
      </c>
      <c r="F20" t="s">
        <v>142</v>
      </c>
      <c r="G20">
        <v>2023</v>
      </c>
      <c r="H20">
        <v>2023</v>
      </c>
      <c r="I20" t="s">
        <v>316</v>
      </c>
      <c r="J20" s="47" t="s">
        <v>212</v>
      </c>
      <c r="L20" t="s">
        <v>312</v>
      </c>
      <c r="M20" t="str">
        <f t="shared" si="0"/>
        <v>-13.542847678393557</v>
      </c>
      <c r="N20" t="str">
        <f t="shared" si="1"/>
        <v xml:space="preserve"> 23.10962122436172</v>
      </c>
    </row>
    <row r="21" spans="1:14" x14ac:dyDescent="0.2">
      <c r="I21" t="s">
        <v>171</v>
      </c>
      <c r="J21" s="47" t="s">
        <v>241</v>
      </c>
      <c r="N21" s="47"/>
    </row>
    <row r="22" spans="1:14" x14ac:dyDescent="0.2">
      <c r="I22" t="s">
        <v>171</v>
      </c>
      <c r="J22" s="47" t="s">
        <v>242</v>
      </c>
      <c r="N22" s="47"/>
    </row>
    <row r="23" spans="1:14" x14ac:dyDescent="0.2">
      <c r="I23" t="s">
        <v>317</v>
      </c>
      <c r="J23" s="47" t="s">
        <v>215</v>
      </c>
      <c r="N23" s="47"/>
    </row>
    <row r="24" spans="1:14" x14ac:dyDescent="0.2">
      <c r="I24" t="s">
        <v>318</v>
      </c>
      <c r="J24" s="47" t="s">
        <v>271</v>
      </c>
      <c r="N24" s="47"/>
    </row>
    <row r="25" spans="1:14" x14ac:dyDescent="0.2">
      <c r="I25" t="s">
        <v>321</v>
      </c>
      <c r="J25" s="47" t="s">
        <v>263</v>
      </c>
      <c r="N25" s="47"/>
    </row>
    <row r="26" spans="1:14" x14ac:dyDescent="0.2">
      <c r="I26" t="s">
        <v>171</v>
      </c>
      <c r="J26" s="47" t="s">
        <v>243</v>
      </c>
      <c r="N26" s="47"/>
    </row>
    <row r="27" spans="1:14" x14ac:dyDescent="0.2">
      <c r="I27" t="s">
        <v>170</v>
      </c>
      <c r="J27" s="47" t="s">
        <v>235</v>
      </c>
      <c r="N27" s="47"/>
    </row>
    <row r="28" spans="1:14" x14ac:dyDescent="0.2">
      <c r="I28" t="s">
        <v>170</v>
      </c>
      <c r="J28" s="47" t="s">
        <v>237</v>
      </c>
      <c r="N28" s="47"/>
    </row>
    <row r="29" spans="1:14" x14ac:dyDescent="0.2">
      <c r="I29" t="s">
        <v>319</v>
      </c>
      <c r="J29" s="47" t="s">
        <v>229</v>
      </c>
      <c r="N29" s="47"/>
    </row>
    <row r="30" spans="1:14" x14ac:dyDescent="0.2">
      <c r="I30" t="s">
        <v>318</v>
      </c>
      <c r="J30" s="47" t="s">
        <v>222</v>
      </c>
    </row>
    <row r="31" spans="1:14" x14ac:dyDescent="0.2">
      <c r="I31" t="s">
        <v>320</v>
      </c>
      <c r="J31" s="47" t="s">
        <v>258</v>
      </c>
      <c r="N31" s="47"/>
    </row>
    <row r="32" spans="1:14" x14ac:dyDescent="0.2">
      <c r="I32" t="s">
        <v>321</v>
      </c>
      <c r="J32" s="47" t="s">
        <v>264</v>
      </c>
    </row>
    <row r="33" spans="9:14" x14ac:dyDescent="0.2">
      <c r="I33" t="s">
        <v>317</v>
      </c>
      <c r="J33" s="47" t="s">
        <v>217</v>
      </c>
      <c r="N33" s="47"/>
    </row>
    <row r="34" spans="9:14" ht="26" x14ac:dyDescent="0.2">
      <c r="I34" t="s">
        <v>320</v>
      </c>
      <c r="J34" s="47" t="s">
        <v>259</v>
      </c>
      <c r="N34" s="47"/>
    </row>
    <row r="35" spans="9:14" x14ac:dyDescent="0.2">
      <c r="I35" t="s">
        <v>170</v>
      </c>
      <c r="J35" s="47" t="s">
        <v>238</v>
      </c>
    </row>
    <row r="36" spans="9:14" x14ac:dyDescent="0.2">
      <c r="I36" t="s">
        <v>318</v>
      </c>
      <c r="J36" s="47" t="s">
        <v>223</v>
      </c>
      <c r="N36" s="47"/>
    </row>
    <row r="37" spans="9:14" x14ac:dyDescent="0.2">
      <c r="I37" t="s">
        <v>318</v>
      </c>
      <c r="J37" s="47" t="s">
        <v>224</v>
      </c>
      <c r="N37" s="47"/>
    </row>
    <row r="38" spans="9:14" x14ac:dyDescent="0.2">
      <c r="I38" t="s">
        <v>171</v>
      </c>
      <c r="J38" s="47" t="s">
        <v>245</v>
      </c>
      <c r="N38" s="47"/>
    </row>
    <row r="39" spans="9:14" x14ac:dyDescent="0.2">
      <c r="J39" s="47"/>
      <c r="N39" s="47"/>
    </row>
    <row r="40" spans="9:14" x14ac:dyDescent="0.2">
      <c r="I40" t="s">
        <v>320</v>
      </c>
      <c r="J40" s="47" t="s">
        <v>260</v>
      </c>
      <c r="N40" s="47"/>
    </row>
    <row r="41" spans="9:14" x14ac:dyDescent="0.2">
      <c r="I41" t="s">
        <v>316</v>
      </c>
      <c r="J41" s="47" t="s">
        <v>206</v>
      </c>
      <c r="N41" s="47"/>
    </row>
    <row r="42" spans="9:14" x14ac:dyDescent="0.2">
      <c r="I42" t="s">
        <v>318</v>
      </c>
      <c r="J42" s="47" t="s">
        <v>225</v>
      </c>
      <c r="N42" s="47"/>
    </row>
    <row r="43" spans="9:14" x14ac:dyDescent="0.2">
      <c r="I43" t="s">
        <v>172</v>
      </c>
      <c r="J43" s="47" t="s">
        <v>253</v>
      </c>
      <c r="N43" s="47"/>
    </row>
    <row r="44" spans="9:14" x14ac:dyDescent="0.2">
      <c r="I44" t="s">
        <v>171</v>
      </c>
      <c r="J44" s="47" t="s">
        <v>246</v>
      </c>
      <c r="N44" s="47"/>
    </row>
    <row r="45" spans="9:14" x14ac:dyDescent="0.2">
      <c r="I45" t="s">
        <v>318</v>
      </c>
      <c r="J45" s="47" t="s">
        <v>226</v>
      </c>
      <c r="N45" s="47"/>
    </row>
    <row r="46" spans="9:14" x14ac:dyDescent="0.2">
      <c r="I46" t="s">
        <v>172</v>
      </c>
      <c r="J46" s="47" t="s">
        <v>255</v>
      </c>
      <c r="N46" s="47"/>
    </row>
    <row r="47" spans="9:14" x14ac:dyDescent="0.2">
      <c r="I47" t="s">
        <v>318</v>
      </c>
      <c r="J47" s="47" t="s">
        <v>227</v>
      </c>
      <c r="N47" s="47"/>
    </row>
    <row r="48" spans="9:14" ht="26" x14ac:dyDescent="0.2">
      <c r="I48" t="s">
        <v>171</v>
      </c>
      <c r="J48" s="47" t="s">
        <v>323</v>
      </c>
      <c r="N48" s="47"/>
    </row>
    <row r="49" spans="9:14" x14ac:dyDescent="0.2">
      <c r="I49" t="s">
        <v>171</v>
      </c>
      <c r="J49" s="47" t="s">
        <v>249</v>
      </c>
      <c r="N49" s="47"/>
    </row>
    <row r="50" spans="9:14" x14ac:dyDescent="0.2">
      <c r="I50" t="s">
        <v>316</v>
      </c>
      <c r="J50" s="47" t="s">
        <v>210</v>
      </c>
    </row>
    <row r="51" spans="9:14" x14ac:dyDescent="0.2">
      <c r="I51" t="s">
        <v>320</v>
      </c>
      <c r="J51" s="47" t="s">
        <v>261</v>
      </c>
      <c r="N51" s="47"/>
    </row>
    <row r="52" spans="9:14" x14ac:dyDescent="0.2">
      <c r="I52" t="s">
        <v>171</v>
      </c>
      <c r="J52" s="47" t="s">
        <v>250</v>
      </c>
    </row>
    <row r="53" spans="9:14" x14ac:dyDescent="0.2">
      <c r="I53" t="s">
        <v>318</v>
      </c>
      <c r="J53" s="47" t="s">
        <v>228</v>
      </c>
    </row>
    <row r="54" spans="9:14" x14ac:dyDescent="0.2">
      <c r="I54" t="s">
        <v>321</v>
      </c>
      <c r="J54" s="47" t="s">
        <v>265</v>
      </c>
      <c r="N54" s="47"/>
    </row>
    <row r="55" spans="9:14" x14ac:dyDescent="0.2">
      <c r="I55" t="s">
        <v>317</v>
      </c>
      <c r="J55" s="47" t="s">
        <v>220</v>
      </c>
      <c r="N55" s="47"/>
    </row>
    <row r="56" spans="9:14" x14ac:dyDescent="0.2">
      <c r="I56" t="s">
        <v>321</v>
      </c>
      <c r="J56" s="47" t="s">
        <v>266</v>
      </c>
    </row>
    <row r="57" spans="9:14" x14ac:dyDescent="0.2">
      <c r="I57" t="s">
        <v>319</v>
      </c>
      <c r="J57" s="47" t="s">
        <v>230</v>
      </c>
    </row>
    <row r="58" spans="9:14" x14ac:dyDescent="0.2">
      <c r="I58" t="s">
        <v>171</v>
      </c>
      <c r="J58" s="47" t="s">
        <v>251</v>
      </c>
    </row>
    <row r="59" spans="9:14" x14ac:dyDescent="0.2">
      <c r="I59" t="s">
        <v>172</v>
      </c>
      <c r="J59" s="47" t="s">
        <v>257</v>
      </c>
    </row>
    <row r="60" spans="9:14" x14ac:dyDescent="0.2">
      <c r="I60" t="s">
        <v>170</v>
      </c>
      <c r="J60" s="47" t="s">
        <v>240</v>
      </c>
    </row>
    <row r="61" spans="9:14" x14ac:dyDescent="0.2">
      <c r="I61" t="s">
        <v>320</v>
      </c>
      <c r="J61" s="47" t="s">
        <v>262</v>
      </c>
    </row>
    <row r="62" spans="9:14" x14ac:dyDescent="0.2">
      <c r="I62" t="s">
        <v>321</v>
      </c>
      <c r="J62" s="47" t="s">
        <v>267</v>
      </c>
    </row>
    <row r="63" spans="9:14" x14ac:dyDescent="0.2">
      <c r="I63" t="s">
        <v>321</v>
      </c>
      <c r="J63" s="47" t="s">
        <v>268</v>
      </c>
    </row>
    <row r="67" spans="10:10" x14ac:dyDescent="0.2">
      <c r="J67" s="47"/>
    </row>
    <row r="68" spans="10:10" x14ac:dyDescent="0.2">
      <c r="J68" s="46"/>
    </row>
    <row r="70" spans="10:10" x14ac:dyDescent="0.2">
      <c r="J70" s="46"/>
    </row>
    <row r="71" spans="10:10" x14ac:dyDescent="0.2">
      <c r="J71" s="46"/>
    </row>
  </sheetData>
  <sortState xmlns:xlrd2="http://schemas.microsoft.com/office/spreadsheetml/2017/richdata2" ref="N1:N58">
    <sortCondition ref="N1:N58"/>
  </sortState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80549-2DFB-BA4B-A12C-F18E53C8D2F9}">
  <dimension ref="A1:B44"/>
  <sheetViews>
    <sheetView workbookViewId="0">
      <selection activeCell="D27" sqref="D27"/>
    </sheetView>
  </sheetViews>
  <sheetFormatPr baseColWidth="10" defaultRowHeight="16" x14ac:dyDescent="0.2"/>
  <sheetData>
    <row r="1" spans="1:2" x14ac:dyDescent="0.2">
      <c r="A1" t="s">
        <v>169</v>
      </c>
      <c r="B1" t="s">
        <v>168</v>
      </c>
    </row>
    <row r="2" spans="1:2" x14ac:dyDescent="0.2">
      <c r="A2" s="48" t="s">
        <v>171</v>
      </c>
      <c r="B2" s="47" t="s">
        <v>241</v>
      </c>
    </row>
    <row r="3" spans="1:2" x14ac:dyDescent="0.2">
      <c r="A3" s="48" t="s">
        <v>171</v>
      </c>
      <c r="B3" s="47" t="s">
        <v>242</v>
      </c>
    </row>
    <row r="4" spans="1:2" x14ac:dyDescent="0.2">
      <c r="A4" s="48" t="s">
        <v>317</v>
      </c>
      <c r="B4" s="47" t="s">
        <v>215</v>
      </c>
    </row>
    <row r="5" spans="1:2" x14ac:dyDescent="0.2">
      <c r="A5" s="48" t="s">
        <v>318</v>
      </c>
      <c r="B5" s="47" t="s">
        <v>271</v>
      </c>
    </row>
    <row r="6" spans="1:2" x14ac:dyDescent="0.2">
      <c r="A6" s="48" t="s">
        <v>321</v>
      </c>
      <c r="B6" s="47" t="s">
        <v>263</v>
      </c>
    </row>
    <row r="7" spans="1:2" x14ac:dyDescent="0.2">
      <c r="A7" s="48" t="s">
        <v>171</v>
      </c>
      <c r="B7" s="47" t="s">
        <v>243</v>
      </c>
    </row>
    <row r="8" spans="1:2" x14ac:dyDescent="0.2">
      <c r="A8" s="48" t="s">
        <v>170</v>
      </c>
      <c r="B8" s="47" t="s">
        <v>235</v>
      </c>
    </row>
    <row r="9" spans="1:2" x14ac:dyDescent="0.2">
      <c r="A9" s="48" t="s">
        <v>170</v>
      </c>
      <c r="B9" s="47" t="s">
        <v>237</v>
      </c>
    </row>
    <row r="10" spans="1:2" x14ac:dyDescent="0.2">
      <c r="A10" s="48" t="s">
        <v>319</v>
      </c>
      <c r="B10" s="47" t="s">
        <v>229</v>
      </c>
    </row>
    <row r="11" spans="1:2" x14ac:dyDescent="0.2">
      <c r="A11" s="48" t="s">
        <v>318</v>
      </c>
      <c r="B11" s="47" t="s">
        <v>222</v>
      </c>
    </row>
    <row r="12" spans="1:2" x14ac:dyDescent="0.2">
      <c r="A12" s="48" t="s">
        <v>320</v>
      </c>
      <c r="B12" s="47" t="s">
        <v>258</v>
      </c>
    </row>
    <row r="13" spans="1:2" x14ac:dyDescent="0.2">
      <c r="A13" s="48" t="s">
        <v>321</v>
      </c>
      <c r="B13" s="47" t="s">
        <v>264</v>
      </c>
    </row>
    <row r="14" spans="1:2" x14ac:dyDescent="0.2">
      <c r="A14" s="48" t="s">
        <v>317</v>
      </c>
      <c r="B14" s="47" t="s">
        <v>217</v>
      </c>
    </row>
    <row r="15" spans="1:2" ht="26" x14ac:dyDescent="0.2">
      <c r="A15" s="48" t="s">
        <v>320</v>
      </c>
      <c r="B15" s="47" t="s">
        <v>259</v>
      </c>
    </row>
    <row r="16" spans="1:2" x14ac:dyDescent="0.2">
      <c r="A16" s="48" t="s">
        <v>170</v>
      </c>
      <c r="B16" s="47" t="s">
        <v>238</v>
      </c>
    </row>
    <row r="17" spans="1:2" x14ac:dyDescent="0.2">
      <c r="A17" s="48" t="s">
        <v>318</v>
      </c>
      <c r="B17" s="47" t="s">
        <v>223</v>
      </c>
    </row>
    <row r="18" spans="1:2" x14ac:dyDescent="0.2">
      <c r="A18" s="48" t="s">
        <v>318</v>
      </c>
      <c r="B18" s="47" t="s">
        <v>224</v>
      </c>
    </row>
    <row r="19" spans="1:2" x14ac:dyDescent="0.2">
      <c r="A19" s="48" t="s">
        <v>171</v>
      </c>
      <c r="B19" s="47" t="s">
        <v>245</v>
      </c>
    </row>
    <row r="20" spans="1:2" x14ac:dyDescent="0.2">
      <c r="A20" s="48"/>
      <c r="B20" s="47"/>
    </row>
    <row r="21" spans="1:2" x14ac:dyDescent="0.2">
      <c r="A21" s="48" t="s">
        <v>320</v>
      </c>
      <c r="B21" s="47" t="s">
        <v>260</v>
      </c>
    </row>
    <row r="22" spans="1:2" x14ac:dyDescent="0.2">
      <c r="A22" s="48" t="s">
        <v>316</v>
      </c>
      <c r="B22" s="47" t="s">
        <v>206</v>
      </c>
    </row>
    <row r="23" spans="1:2" x14ac:dyDescent="0.2">
      <c r="A23" s="48" t="s">
        <v>318</v>
      </c>
      <c r="B23" s="47" t="s">
        <v>225</v>
      </c>
    </row>
    <row r="24" spans="1:2" x14ac:dyDescent="0.2">
      <c r="A24" s="48" t="s">
        <v>172</v>
      </c>
      <c r="B24" s="47" t="s">
        <v>253</v>
      </c>
    </row>
    <row r="25" spans="1:2" x14ac:dyDescent="0.2">
      <c r="A25" s="48" t="s">
        <v>171</v>
      </c>
      <c r="B25" s="47" t="s">
        <v>246</v>
      </c>
    </row>
    <row r="26" spans="1:2" x14ac:dyDescent="0.2">
      <c r="A26" s="48" t="s">
        <v>318</v>
      </c>
      <c r="B26" s="47" t="s">
        <v>226</v>
      </c>
    </row>
    <row r="27" spans="1:2" x14ac:dyDescent="0.2">
      <c r="A27" s="48" t="s">
        <v>172</v>
      </c>
      <c r="B27" s="47" t="s">
        <v>255</v>
      </c>
    </row>
    <row r="28" spans="1:2" x14ac:dyDescent="0.2">
      <c r="A28" s="48" t="s">
        <v>318</v>
      </c>
      <c r="B28" s="47" t="s">
        <v>227</v>
      </c>
    </row>
    <row r="29" spans="1:2" ht="26" x14ac:dyDescent="0.2">
      <c r="A29" s="48" t="s">
        <v>171</v>
      </c>
      <c r="B29" s="47" t="s">
        <v>323</v>
      </c>
    </row>
    <row r="30" spans="1:2" x14ac:dyDescent="0.2">
      <c r="A30" s="48" t="s">
        <v>171</v>
      </c>
      <c r="B30" s="47" t="s">
        <v>249</v>
      </c>
    </row>
    <row r="31" spans="1:2" x14ac:dyDescent="0.2">
      <c r="A31" s="48" t="s">
        <v>316</v>
      </c>
      <c r="B31" s="47" t="s">
        <v>210</v>
      </c>
    </row>
    <row r="32" spans="1:2" x14ac:dyDescent="0.2">
      <c r="A32" s="48" t="s">
        <v>320</v>
      </c>
      <c r="B32" s="47" t="s">
        <v>261</v>
      </c>
    </row>
    <row r="33" spans="1:2" x14ac:dyDescent="0.2">
      <c r="A33" s="48" t="s">
        <v>171</v>
      </c>
      <c r="B33" s="47" t="s">
        <v>250</v>
      </c>
    </row>
    <row r="34" spans="1:2" x14ac:dyDescent="0.2">
      <c r="A34" s="48" t="s">
        <v>318</v>
      </c>
      <c r="B34" s="47" t="s">
        <v>228</v>
      </c>
    </row>
    <row r="35" spans="1:2" x14ac:dyDescent="0.2">
      <c r="A35" s="48" t="s">
        <v>321</v>
      </c>
      <c r="B35" s="47" t="s">
        <v>265</v>
      </c>
    </row>
    <row r="36" spans="1:2" x14ac:dyDescent="0.2">
      <c r="A36" s="48" t="s">
        <v>317</v>
      </c>
      <c r="B36" s="47" t="s">
        <v>220</v>
      </c>
    </row>
    <row r="37" spans="1:2" x14ac:dyDescent="0.2">
      <c r="A37" s="48" t="s">
        <v>321</v>
      </c>
      <c r="B37" s="47" t="s">
        <v>266</v>
      </c>
    </row>
    <row r="38" spans="1:2" x14ac:dyDescent="0.2">
      <c r="A38" s="48" t="s">
        <v>319</v>
      </c>
      <c r="B38" s="47" t="s">
        <v>230</v>
      </c>
    </row>
    <row r="39" spans="1:2" x14ac:dyDescent="0.2">
      <c r="A39" s="48" t="s">
        <v>171</v>
      </c>
      <c r="B39" s="47" t="s">
        <v>251</v>
      </c>
    </row>
    <row r="40" spans="1:2" x14ac:dyDescent="0.2">
      <c r="A40" s="48" t="s">
        <v>172</v>
      </c>
      <c r="B40" s="47" t="s">
        <v>257</v>
      </c>
    </row>
    <row r="41" spans="1:2" x14ac:dyDescent="0.2">
      <c r="A41" s="48" t="s">
        <v>170</v>
      </c>
      <c r="B41" s="47" t="s">
        <v>240</v>
      </c>
    </row>
    <row r="42" spans="1:2" x14ac:dyDescent="0.2">
      <c r="A42" s="48" t="s">
        <v>320</v>
      </c>
      <c r="B42" s="47" t="s">
        <v>262</v>
      </c>
    </row>
    <row r="43" spans="1:2" x14ac:dyDescent="0.2">
      <c r="A43" s="48" t="s">
        <v>321</v>
      </c>
      <c r="B43" s="47" t="s">
        <v>267</v>
      </c>
    </row>
    <row r="44" spans="1:2" x14ac:dyDescent="0.2">
      <c r="A44" s="48" t="s">
        <v>321</v>
      </c>
      <c r="B44" s="47" t="s">
        <v>268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3B7AAB-7767-B843-9EF8-244165A52BF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from</vt:lpstr>
      <vt:lpstr>Table S4 pivot</vt:lpstr>
      <vt:lpstr>retrieve Table S4</vt:lpstr>
      <vt:lpstr>locations</vt:lpstr>
      <vt:lpstr>to_locate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 Harrison</dc:creator>
  <cp:lastModifiedBy>Lucy Harrison</cp:lastModifiedBy>
  <dcterms:created xsi:type="dcterms:W3CDTF">2026-02-07T12:22:18Z</dcterms:created>
  <dcterms:modified xsi:type="dcterms:W3CDTF">2026-02-20T14:32:19Z</dcterms:modified>
</cp:coreProperties>
</file>